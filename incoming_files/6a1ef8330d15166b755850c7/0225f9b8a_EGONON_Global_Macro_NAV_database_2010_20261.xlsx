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2af4c091b254f6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b75794d60ea944f9"/>
    <x:sheet xmlns:r="http://schemas.openxmlformats.org/officeDocument/2006/relationships" name="NAV_Database" sheetId="2" r:id="R6b19848cbff14873"/>
    <x:sheet xmlns:r="http://schemas.openxmlformats.org/officeDocument/2006/relationships" name="Annual_Check" sheetId="3" r:id="R821ae1ea80de48a8"/>
    <x:sheet xmlns:r="http://schemas.openxmlformats.org/officeDocument/2006/relationships" name="Source_Notes" sheetId="4" r:id="R37a8c533a690407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yyyy-mm-dd"/>
    <x:numFmt numFmtId="201" formatCode="0.0"/>
    <x:numFmt numFmtId="202" formatCode="0.00%"/>
    <x:numFmt numFmtId="203" formatCode="#,##0.00"/>
    <x:numFmt numFmtId="204" formatCode="0.00"/>
  </x:numFmts>
  <x:fonts count="9">
    <x:font>
      <x:sz val="11"/>
      <x:name val="Carlito"/>
    </x:font>
    <x:font>
      <x:b/>
      <x:sz val="11"/>
      <x:color rgb="FFFFFF"/>
      <x:name val="Carlito"/>
    </x:font>
    <x:font>
      <x:b/>
      <x:sz val="16"/>
      <x:color rgb="111827"/>
      <x:name val="Carlito"/>
    </x:font>
    <x:font>
      <x:b/>
      <x:sz val="11"/>
      <x:name val="Carlito"/>
    </x:font>
    <x:font>
      <x:b/>
      <x:sz val="11"/>
      <x:color rgb="870037"/>
      <x:name val="Carlito"/>
    </x:font>
    <x:font>
      <x:b/>
      <x:sz val="10"/>
      <x:color rgb="111827"/>
      <x:name val="Arial"/>
    </x:font>
    <x:font>
      <x:sz val="10"/>
      <x:name val="Arial"/>
    </x:font>
    <x:font>
      <x:b/>
      <x:sz val="10"/>
      <x:color rgb="FFFFFF"/>
      <x:name val="Arial"/>
    </x:font>
    <x:font>
      <x:b/>
      <x:sz val="16"/>
      <x:color rgb="111827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870037"/>
      </x:patternFill>
    </x:fill>
    <x:fill>
      <x:patternFill patternType="solid">
        <x:fgColor rgb="F3F4F6"/>
      </x:patternFill>
    </x:fill>
    <x:fill>
      <x:patternFill patternType="solid">
        <x:fgColor rgb="FCE7F3"/>
      </x:patternFill>
    </x:fill>
  </x:fills>
  <x:borders count="2">
    <x:border/>
    <x:border/>
  </x:borders>
  <x:cellStyleXfs count="1">
    <x:xf numFmtId="0" fontId="0" fillId="0" borderId="0"/>
  </x:cellStyleXfs>
  <x:cellXfs count="6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200" fontId="1" fillId="2" borderId="0" xfId="0" applyNumberFormat="1" applyFont="1" applyFill="1" applyBorder="1" applyAlignment="1">
      <x:alignment horizontal="center" vertical="center" wrapText="1"/>
    </x:xf>
    <x:xf numFmtId="200" fontId="1" fillId="2" borderId="1" xfId="0" applyNumberFormat="1" applyFont="1" applyFill="1" applyBorder="1" applyAlignment="1">
      <x:alignment horizontal="center" vertical="center" wrapText="1"/>
    </x:xf>
    <x:xf numFmtId="201" fontId="1" fillId="2" borderId="0" xfId="0" applyNumberFormat="1" applyFont="1" applyFill="1" applyBorder="1" applyAlignment="1">
      <x:alignment horizontal="center" vertical="center" wrapText="1"/>
    </x:xf>
    <x:xf numFmtId="201" fontId="1" fillId="2" borderId="1" xfId="0" applyNumberFormat="1" applyFont="1" applyFill="1" applyBorder="1" applyAlignment="1">
      <x:alignment horizontal="center" vertical="center" wrapText="1"/>
    </x:xf>
    <x:xf numFmtId="202" fontId="1" fillId="2" borderId="0" xfId="0" applyNumberFormat="1" applyFont="1" applyFill="1" applyBorder="1" applyAlignment="1">
      <x:alignment horizontal="center" vertical="center" wrapText="1"/>
    </x:xf>
    <x:xf numFmtId="202" fontId="1" fillId="2" borderId="1" xfId="0" applyNumberFormat="1" applyFont="1" applyFill="1" applyBorder="1" applyAlignment="1">
      <x:alignment horizontal="center" vertical="center" wrapText="1"/>
    </x:xf>
    <x:xf numFmtId="203" fontId="1" fillId="2" borderId="0" xfId="0" applyNumberFormat="1" applyFont="1" applyFill="1" applyBorder="1" applyAlignment="1">
      <x:alignment horizontal="center" vertical="center" wrapText="1"/>
    </x:xf>
    <x:xf numFmtId="203" fontId="1" fillId="2" borderId="1" xfId="0" applyNumberFormat="1" applyFont="1" applyFill="1" applyBorder="1" applyAlignment="1">
      <x:alignment horizontal="center" vertical="center" wrapText="1"/>
    </x:xf>
    <x:xf numFmtId="204" fontId="1" fillId="2" borderId="0" xfId="0" applyNumberFormat="1" applyFont="1" applyFill="1" applyBorder="1" applyAlignment="1">
      <x:alignment horizontal="center" vertical="center" wrapText="1"/>
    </x:xf>
    <x:xf numFmtId="204" fontId="1" fillId="2" borderId="1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/>
    <x:xf numFmtId="0" fontId="2" fillId="0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/>
    <x:xf numFmtId="0" fontId="3" fillId="3" borderId="1" xfId="0" applyNumberFormat="1" applyFont="1" applyFill="1" applyBorder="1"/>
    <x:xf numFmtId="0" fontId="3" fillId="3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3" fontId="0" fillId="0" borderId="0" xfId="0" applyNumberFormat="1" applyFont="1" applyFill="1" applyBorder="1" applyAlignment="1">
      <x:alignment wrapText="1"/>
    </x:xf>
    <x:xf numFmtId="203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3" fontId="0" fillId="0" borderId="0" xfId="0" applyNumberFormat="1" applyFont="1" applyFill="1" applyBorder="1"/>
    <x:xf numFmtId="203" fontId="0" fillId="0" borderId="1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horizontal="left"/>
    </x:xf>
    <x:xf numFmtId="0" fontId="0" fillId="4" borderId="1" xfId="0" applyNumberFormat="1" applyFont="1" applyFill="1" applyBorder="1"/>
    <x:xf numFmtId="0" fontId="4" fillId="4" borderId="1" xfId="0" applyNumberFormat="1" applyFont="1" applyFill="1" applyBorder="1"/>
    <x:xf numFmtId="0" fontId="4" fillId="4" borderId="1" xfId="0" applyNumberFormat="1" applyFont="1" applyFill="1" applyBorder="1" applyAlignment="1">
      <x:alignment horizontal="left"/>
    </x:xf>
    <x:xf numFmtId="0" fontId="5" fillId="0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/>
    <x:xf numFmtId="0" fontId="5" fillId="0" borderId="1" xfId="0" applyNumberFormat="1" applyFont="1" applyFill="1" applyBorder="1" applyAlignment="1">
      <x:alignment vertical="center"/>
    </x:xf>
    <x:xf numFmtId="0" fontId="6" fillId="0" borderId="1" xfId="0" applyNumberFormat="1" applyFont="1" applyFill="1" applyBorder="1"/>
    <x:xf numFmtId="200" fontId="7" fillId="2" borderId="0" xfId="0" applyNumberFormat="1" applyFont="1" applyFill="1" applyBorder="1" applyAlignment="1">
      <x:alignment horizontal="center" vertical="center" wrapText="1"/>
    </x:xf>
    <x:xf numFmtId="0" fontId="7" fillId="2" borderId="0" xfId="0" applyNumberFormat="1" applyFont="1" applyFill="1" applyBorder="1" applyAlignment="1">
      <x:alignment horizontal="center" vertical="center" wrapText="1"/>
    </x:xf>
    <x:xf numFmtId="201" fontId="7" fillId="2" borderId="0" xfId="0" applyNumberFormat="1" applyFont="1" applyFill="1" applyBorder="1" applyAlignment="1">
      <x:alignment horizontal="center" vertical="center" wrapText="1"/>
    </x:xf>
    <x:xf numFmtId="202" fontId="7" fillId="2" borderId="0" xfId="0" applyNumberFormat="1" applyFont="1" applyFill="1" applyBorder="1" applyAlignment="1">
      <x:alignment horizontal="center" vertical="center" wrapText="1"/>
    </x:xf>
    <x:xf numFmtId="203" fontId="7" fillId="2" borderId="0" xfId="0" applyNumberFormat="1" applyFont="1" applyFill="1" applyBorder="1" applyAlignment="1">
      <x:alignment horizontal="center" vertical="center" wrapText="1"/>
    </x:xf>
    <x:xf numFmtId="200" fontId="7" fillId="2" borderId="1" xfId="0" applyNumberFormat="1" applyFont="1" applyFill="1" applyBorder="1" applyAlignment="1">
      <x:alignment horizontal="center" vertical="center" wrapText="1"/>
    </x:xf>
    <x:xf numFmtId="0" fontId="7" fillId="2" borderId="1" xfId="0" applyNumberFormat="1" applyFont="1" applyFill="1" applyBorder="1" applyAlignment="1">
      <x:alignment horizontal="center" vertical="center" wrapText="1"/>
    </x:xf>
    <x:xf numFmtId="201" fontId="7" fillId="2" borderId="1" xfId="0" applyNumberFormat="1" applyFont="1" applyFill="1" applyBorder="1" applyAlignment="1">
      <x:alignment horizontal="center" vertical="center" wrapText="1"/>
    </x:xf>
    <x:xf numFmtId="202" fontId="7" fillId="2" borderId="1" xfId="0" applyNumberFormat="1" applyFont="1" applyFill="1" applyBorder="1" applyAlignment="1">
      <x:alignment horizontal="center" vertical="center" wrapText="1"/>
    </x:xf>
    <x:xf numFmtId="203" fontId="7" fillId="2" borderId="1" xfId="0" applyNumberFormat="1" applyFont="1" applyFill="1" applyBorder="1" applyAlignment="1">
      <x:alignment horizontal="center" vertical="center" wrapText="1"/>
    </x:xf>
    <x:xf numFmtId="204" fontId="7" fillId="2" borderId="0" xfId="0" applyNumberFormat="1" applyFont="1" applyFill="1" applyBorder="1" applyAlignment="1">
      <x:alignment horizontal="center" vertical="center" wrapText="1"/>
    </x:xf>
    <x:xf numFmtId="204" fontId="7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/>
    <x:xf numFmtId="0" fontId="8" fillId="0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2">
    <x:dxf>
      <x:font>
        <x:color rgb="B91C1C"/>
      </x:font>
    </x:dxf>
    <x:dxf>
      <x:font>
        <x:color rgb="B91C1C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c218a4de5f74261" /><Relationship Type="http://schemas.openxmlformats.org/officeDocument/2006/relationships/theme" Target="/xl/theme/theme1.xml" Id="Rb65dced2266f47f9" /><Relationship Type="http://schemas.openxmlformats.org/officeDocument/2006/relationships/sharedStrings" Target="/xl/sharedStrings.xml" Id="Rb03c532e4cf747df" /><Relationship Type="http://schemas.openxmlformats.org/officeDocument/2006/relationships/worksheet" Target="/xl/worksheets/sheet1.xml" Id="Rb75794d60ea944f9" /><Relationship Type="http://schemas.openxmlformats.org/officeDocument/2006/relationships/worksheet" Target="/xl/worksheets/sheet2.xml" Id="R6b19848cbff14873" /><Relationship Type="http://schemas.openxmlformats.org/officeDocument/2006/relationships/worksheet" Target="/xl/worksheets/sheet3.xml" Id="R821ae1ea80de48a8" /><Relationship Type="http://schemas.openxmlformats.org/officeDocument/2006/relationships/worksheet" Target="/xl/worksheets/sheet4.xml" Id="R37a8c533a690407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3ad9e7b21da4042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NAV ricostruito da rendimenti mensili PDF</a:t>
            </a:r>
          </a:p>
        </c:rich>
      </c:tx>
      <c:overlay val="0"/>
    </c:title>
    <c:autoTitleDeleted val="0"/>
    <c:plotArea>
      <c:layout/>
      <c:lineChart>
        <c:ser>
          <c:idx val="0"/>
          <c:order val="0"/>
          <c:tx>
            <c:v>NAV reconstructed</c:v>
          </c:tx>
          <c:cat>
            <c:strRef>
              <c:f>'Summary'!$A$15:$A$209</c:f>
              <c:strCache>
                <c:ptCount val="0"/>
              </c:strCache>
            </c:strRef>
          </c:cat>
          <c:val>
            <c:numRef>
              <c:f>'Summary'!$B$15:$B$209</c:f>
              <c:numCache>
                <c:formatCode>#,##0.00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13</xdr:row>
      <xdr:rowOff>0</xdr:rowOff>
    </xdr:from>
    <xdr:to>
      <xdr:col>8</xdr:col>
      <xdr:colOff>0</xdr:colOff>
      <xdr:row>32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3ad9e7b21da4042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NAVDatabaseTable" displayName="NAVDatabaseTable" ref="A1:H196" headerRowCount="1">
  <x:tableColumns count="8">
    <x:tableColumn id="1" name="Date"/>
    <x:tableColumn id="2" name="Year"/>
    <x:tableColumn id="3" name="Month"/>
    <x:tableColumn id="4" name="Month #"/>
    <x:tableColumn id="5" name="Monthly return % displayed"/>
    <x:tableColumn id="6" name="Monthly return decimal"/>
    <x:tableColumn id="7" name="NAV reconstructed"/>
    <x:tableColumn id="8" name="Drawdown"/>
  </x:tableColumns>
  <x:tableStyleInfo name="TableStyleMedium2" showRowStripes="1"/>
</x:table>
</file>

<file path=xl/tables/table2.xml><?xml version="1.0" encoding="utf-8"?>
<x:table xmlns:x="http://schemas.openxmlformats.org/spreadsheetml/2006/main" id="2" name="AnnualCheckTable" displayName="AnnualCheckTable" ref="A1:M18" headerRowCount="1">
  <x:tableColumns count="13">
    <x:tableColumn id="1" name="Year"/>
    <x:tableColumn id="2" name="Months"/>
    <x:tableColumn id="3" name="PDF sum %"/>
    <x:tableColumn id="4" name="Calc sum %"/>
    <x:tableColumn id="5" name="Delta sum pp"/>
    <x:tableColumn id="6" name="PDF compounded %"/>
    <x:tableColumn id="7" name="Calc compounded %"/>
    <x:tableColumn id="8" name="Delta comp. pp"/>
    <x:tableColumn id="9" name="PDF vol ann. %"/>
    <x:tableColumn id="10" name="PDF max DD %"/>
    <x:tableColumn id="11" name="PDF best month %"/>
    <x:tableColumn id="12" name="PDF worst month %"/>
    <x:tableColumn id="13" name="PDF positive months %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08362289595c4370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6178ae858e894ec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ec1d5c927a0463f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</x:cols>
  <x:sheetData>
    <x:row r="1">
      <x:c r="A1" s="65" t="str">
        <x:v>EGONON Global Macro AMC - NAV Database 2010-2026</x:v>
      </x:c>
      <x:c r="B1" s="49"/>
      <x:c r="C1" s="49"/>
      <x:c r="D1" s="49"/>
      <x:c r="E1" s="49"/>
      <x:c r="F1" s="49"/>
      <x:c r="G1" s="49"/>
      <x:c r="H1" s="49"/>
      <x:c r="I1" s="49"/>
      <x:c r="J1" s="49"/>
      <x:c r="K1" s="49"/>
      <x:c r="L1" s="49"/>
      <x:c r="M1" s="49"/>
      <x:c r="N1" s="49"/>
      <x:c r="O1" s="49"/>
      <x:c r="P1" s="49"/>
      <x:c r="Q1" s="49"/>
      <x:c r="R1" s="49"/>
      <x:c r="S1" s="49"/>
      <x:c r="T1" s="49"/>
      <x:c r="U1" s="49"/>
      <x:c r="V1" s="49"/>
      <x:c r="W1" s="49"/>
      <x:c r="X1" s="49"/>
      <x:c r="Y1" s="49"/>
      <x:c r="Z1" s="49"/>
    </x:row>
    <x:row r="3">
      <x:c r="A3" s="28" t="str">
        <x:v>Periodo estratto</x:v>
      </x:c>
      <x:c r="B3" s="32" t="str">
        <x:v>2010-04-30 - 2026-06-30</x:v>
      </x:c>
      <x:c r="D3" s="44" t="str">
        <x:v>Nota importante</x:v>
      </x:c>
      <x:c r="E3"/>
      <x:c r="F3"/>
      <x:c r="G3"/>
      <x:c r="H3"/>
    </x:row>
    <x:row r="4" ht="70" customHeight="1">
      <x:c r="A4" s="28" t="str">
        <x:v>Osservazioni mensili</x:v>
      </x:c>
      <x:c r="B4" s="32" t="n">
        <x:v>195</x:v>
      </x:c>
      <x:c r="D4" s="32" t="str">
        <x:v>Il PDF non contiene una tabella NAV mensile puntuale; contiene una matrice dei rendimenti mensili arrotondati a 1 decimale e il NAV finale/valore indicizzato di 2,149.45. Il database ricostruisce il NAV usando i rendimenti visualizzati; la differenza finale di circa 0.02% deriva dall'arrotondamento del PDF.</x:v>
      </x:c>
      <x:c r="E4"/>
      <x:c r="F4"/>
      <x:c r="G4"/>
      <x:c r="H4"/>
    </x:row>
    <x:row r="5">
      <x:c r="A5" s="28" t="str">
        <x:v>Base NAV</x:v>
      </x:c>
      <x:c r="B5" s="32" t="str">
        <x:v>1,000 at 2010-03-30</x:v>
      </x:c>
      <x:c r="D5" s="27" t="str">
        <x:v>Fonte</x:v>
      </x:c>
      <x:c r="E5"/>
      <x:c r="F5"/>
      <x:c r="G5"/>
      <x:c r="H5"/>
    </x:row>
    <x:row r="6">
      <x:c r="A6" s="28" t="str">
        <x:v>NAV finale ricostruito</x:v>
      </x:c>
      <x:c r="B6" s="34" t="n">
        <x:v>2149.0072322292503</x:v>
      </x:c>
      <x:c r="D6" t="str">
        <x:v>2010_2026_GONON_Global_Macro_AMC_Quant_Research_Desk_FULL_HISTORY_2010_2026_DICITURA_AGGIORNATA.pdf</x:v>
      </x:c>
      <x:c r="E6"/>
      <x:c r="F6"/>
      <x:c r="G6"/>
      <x:c r="H6"/>
    </x:row>
    <x:row r="7">
      <x:c r="A7" s="28" t="str">
        <x:v>NAV finale indicato nel report</x:v>
      </x:c>
      <x:c r="B7" s="34" t="n">
        <x:v>2149.45</x:v>
      </x:c>
      <x:c r="D7" t="str">
        <x:v>Pagina principale usata</x:v>
      </x:c>
      <x:c r="E7" t="str">
        <x:v>p. 10 - Calendar returns / heatmap dei rendimenti mensili</x:v>
      </x:c>
      <x:c r="F7"/>
      <x:c r="G7"/>
      <x:c r="H7"/>
    </x:row>
    <x:row r="8">
      <x:c r="A8" s="28" t="str">
        <x:v>Scostamento assoluto</x:v>
      </x:c>
      <x:c r="B8" s="34" t="n">
        <x:v>0.4427677707494695</x:v>
      </x:c>
      <x:c r="D8" t="str">
        <x:v>Campione dichiarato</x:v>
      </x:c>
      <x:c r="E8" t="str">
        <x:v>195 osservazioni mensili da 30/04/2010 a 30/06/2026</x:v>
      </x:c>
      <x:c r="F8"/>
      <x:c r="G8"/>
      <x:c r="H8"/>
    </x:row>
    <x:row r="9">
      <x:c r="A9" s="28" t="str">
        <x:v>Scostamento % sul NAV report</x:v>
      </x:c>
      <x:c r="B9" s="36" t="n">
        <x:v>0.00020599119344458794</x:v>
      </x:c>
      <x:c r="D9" t="str">
        <x:v>Controllo finale</x:v>
      </x:c>
      <x:c r="E9" t="str">
        <x:v>NAV da heatmap arrotondata: 2,149.01; NAV report: 2,149.45</x:v>
      </x:c>
      <x:c r="F9"/>
      <x:c r="G9"/>
      <x:c r="H9"/>
    </x:row>
    <x:row r="10">
      <x:c r="A10" s="28" t="str">
        <x:v>Rendimento composto ricostruito</x:v>
      </x:c>
      <x:c r="B10" s="36" t="n">
        <x:v>1.1490072322292502</x:v>
      </x:c>
      <x:c r="D10"/>
      <x:c r="E10"/>
      <x:c r="F10"/>
      <x:c r="G10"/>
      <x:c r="H10"/>
    </x:row>
    <x:row r="11">
      <x:c r="A11" s="28" t="str">
        <x:v>Rendimento composto report</x:v>
      </x:c>
      <x:c r="B11" s="36" t="n">
        <x:v>1.1494499999999999</x:v>
      </x:c>
      <x:c r="D11"/>
      <x:c r="E11"/>
      <x:c r="F11"/>
      <x:c r="G11"/>
      <x:c r="H11"/>
    </x:row>
    <x:row r="12">
      <x:c r="A12" s="28" t="str">
        <x:v>Metodo</x:v>
      </x:c>
      <x:c r="B12" s="32" t="str">
        <x:v>Compounding mensile dei rendimenti visualizzati nella heatmap PDF (1 decimale).</x:v>
      </x:c>
      <x:c r="D12"/>
      <x:c r="E12"/>
      <x:c r="F12"/>
      <x:c r="G12"/>
      <x:c r="H12"/>
    </x:row>
    <x:row r="14">
      <x:c r="A14" s="6" t="str">
        <x:v>Date</x:v>
      </x:c>
      <x:c r="B14" s="6" t="str">
        <x:v>NAV reconstructed</x:v>
      </x:c>
    </x:row>
    <x:row r="15">
      <x:c r="A15" s="38" t="n">
        <x:v>40298</x:v>
      </x:c>
      <x:c r="B15" s="40" t="n">
        <x:v>1000</x:v>
      </x:c>
    </x:row>
    <x:row r="16">
      <x:c r="A16" s="38" t="n">
        <x:v>40329</x:v>
      </x:c>
      <x:c r="B16" s="40" t="n">
        <x:v>1012.9999999999999</x:v>
      </x:c>
    </x:row>
    <x:row r="17">
      <x:c r="A17" s="38" t="n">
        <x:v>40359</x:v>
      </x:c>
      <x:c r="B17" s="40" t="n">
        <x:v>1024.1429999999998</x:v>
      </x:c>
    </x:row>
    <x:row r="18">
      <x:c r="A18" s="38" t="n">
        <x:v>40390</x:v>
      </x:c>
      <x:c r="B18" s="40" t="n">
        <x:v>1019.0222849999998</x:v>
      </x:c>
    </x:row>
    <x:row r="19">
      <x:c r="A19" s="38" t="n">
        <x:v>40421</x:v>
      </x:c>
      <x:c r="B19" s="40" t="n">
        <x:v>1051.6309981199997</x:v>
      </x:c>
    </x:row>
    <x:row r="20">
      <x:c r="A20" s="38" t="n">
        <x:v>40451</x:v>
      </x:c>
      <x:c r="B20" s="40" t="n">
        <x:v>1044.2695811331598</x:v>
      </x:c>
    </x:row>
    <x:row r="21">
      <x:c r="A21" s="38" t="n">
        <x:v>40482</x:v>
      </x:c>
      <x:c r="B21" s="40" t="n">
        <x:v>1045.3138507142928</x:v>
      </x:c>
    </x:row>
    <x:row r="22">
      <x:c r="A22" s="38" t="n">
        <x:v>40512</x:v>
      </x:c>
      <x:c r="B22" s="40" t="n">
        <x:v>1031.724770655007</x:v>
      </x:c>
    </x:row>
    <x:row r="23">
      <x:c r="A23" s="38" t="n">
        <x:v>40543</x:v>
      </x:c>
      <x:c r="B23" s="40" t="n">
        <x:v>1031.724770655007</x:v>
      </x:c>
    </x:row>
    <x:row r="24">
      <x:c r="A24" s="38" t="n">
        <x:v>40574</x:v>
      </x:c>
      <x:c r="B24" s="40" t="n">
        <x:v>1013.1537247832168</x:v>
      </x:c>
    </x:row>
    <x:row r="25">
      <x:c r="A25" s="38" t="n">
        <x:v>40602</x:v>
      </x:c>
      <x:c r="B25" s="40" t="n">
        <x:v>1028.351030654965</x:v>
      </x:c>
    </x:row>
    <x:row r="26">
      <x:c r="A26" s="38" t="n">
        <x:v>40633</x:v>
      </x:c>
      <x:c r="B26" s="40" t="n">
        <x:v>1027.32267962431</x:v>
      </x:c>
    </x:row>
    <x:row r="27">
      <x:c r="A27" s="38" t="n">
        <x:v>40663</x:v>
      </x:c>
      <x:c r="B27" s="40" t="n">
        <x:v>1063.2789734111607</x:v>
      </x:c>
    </x:row>
    <x:row r="28">
      <x:c r="A28" s="38" t="n">
        <x:v>40694</x:v>
      </x:c>
      <x:c r="B28" s="40" t="n">
        <x:v>1053.7094626504602</x:v>
      </x:c>
    </x:row>
    <x:row r="29">
      <x:c r="A29" s="38" t="n">
        <x:v>40724</x:v>
      </x:c>
      <x:c r="B29" s="40" t="n">
        <x:v>1046.333496411907</x:v>
      </x:c>
    </x:row>
    <x:row r="30">
      <x:c r="A30" s="38" t="n">
        <x:v>40755</x:v>
      </x:c>
      <x:c r="B30" s="40" t="n">
        <x:v>1075.6308343114404</x:v>
      </x:c>
    </x:row>
    <x:row r="31">
      <x:c r="A31" s="38" t="n">
        <x:v>40786</x:v>
      </x:c>
      <x:c r="B31" s="40" t="n">
        <x:v>1072.403941808506</x:v>
      </x:c>
    </x:row>
    <x:row r="32">
      <x:c r="A32" s="38" t="n">
        <x:v>40816</x:v>
      </x:c>
      <x:c r="B32" s="40" t="n">
        <x:v>1063.824710274038</x:v>
      </x:c>
    </x:row>
    <x:row r="33">
      <x:c r="A33" s="38" t="n">
        <x:v>40847</x:v>
      </x:c>
      <x:c r="B33" s="40" t="n">
        <x:v>1080.8459056384224</x:v>
      </x:c>
    </x:row>
    <x:row r="34">
      <x:c r="A34" s="38" t="n">
        <x:v>40877</x:v>
      </x:c>
      <x:c r="B34" s="40" t="n">
        <x:v>1079.765059732784</x:v>
      </x:c>
    </x:row>
    <x:row r="35">
      <x:c r="A35" s="38" t="n">
        <x:v>40908</x:v>
      </x:c>
      <x:c r="B35" s="40" t="n">
        <x:v>1086.2436500911808</x:v>
      </x:c>
    </x:row>
    <x:row r="36">
      <x:c r="A36" s="38" t="n">
        <x:v>40939</x:v>
      </x:c>
      <x:c r="B36" s="40" t="n">
        <x:v>1111.227254043278</x:v>
      </x:c>
    </x:row>
    <x:row r="37">
      <x:c r="A37" s="38" t="n">
        <x:v>40968</x:v>
      </x:c>
      <x:c r="B37" s="40" t="n">
        <x:v>1119.005844821581</x:v>
      </x:c>
    </x:row>
    <x:row r="38">
      <x:c r="A38" s="38" t="n">
        <x:v>40999</x:v>
      </x:c>
      <x:c r="B38" s="40" t="n">
        <x:v>1116.7678331319378</x:v>
      </x:c>
    </x:row>
    <x:row r="39">
      <x:c r="A39" s="38" t="n">
        <x:v>41029</x:v>
      </x:c>
      <x:c r="B39" s="40" t="n">
        <x:v>1127.9355114632572</x:v>
      </x:c>
    </x:row>
    <x:row r="40">
      <x:c r="A40" s="38" t="n">
        <x:v>41060</x:v>
      </x:c>
      <x:c r="B40" s="40" t="n">
        <x:v>1131.3193179976467</x:v>
      </x:c>
    </x:row>
    <x:row r="41">
      <x:c r="A41" s="38" t="n">
        <x:v>41090</x:v>
      </x:c>
      <x:c r="B41" s="40" t="n">
        <x:v>1135.8445952696372</x:v>
      </x:c>
    </x:row>
    <x:row r="42">
      <x:c r="A42" s="38" t="n">
        <x:v>41121</x:v>
      </x:c>
      <x:c r="B42" s="40" t="n">
        <x:v>1160.8331763655692</x:v>
      </x:c>
    </x:row>
    <x:row r="43">
      <x:c r="A43" s="38" t="n">
        <x:v>41152</x:v>
      </x:c>
      <x:c r="B43" s="40" t="n">
        <x:v>1167.7981754237626</x:v>
      </x:c>
    </x:row>
    <x:row r="44">
      <x:c r="A44" s="38" t="n">
        <x:v>41182</x:v>
      </x:c>
      <x:c r="B44" s="40" t="n">
        <x:v>1173.6371663008813</x:v>
      </x:c>
    </x:row>
    <x:row r="45">
      <x:c r="A45" s="38" t="n">
        <x:v>41213</x:v>
      </x:c>
      <x:c r="B45" s="40" t="n">
        <x:v>1168.9426176356778</x:v>
      </x:c>
    </x:row>
    <x:row r="46">
      <x:c r="A46" s="38" t="n">
        <x:v>41243</x:v>
      </x:c>
      <x:c r="B46" s="40" t="n">
        <x:v>1180.6320438120347</x:v>
      </x:c>
    </x:row>
    <x:row r="47">
      <x:c r="A47" s="38" t="n">
        <x:v>41274</x:v>
      </x:c>
      <x:c r="B47" s="40" t="n">
        <x:v>1177.0901476805986</x:v>
      </x:c>
    </x:row>
    <x:row r="48">
      <x:c r="A48" s="38" t="n">
        <x:v>41305</x:v>
      </x:c>
      <x:c r="B48" s="40" t="n">
        <x:v>1172.3817870898763</x:v>
      </x:c>
    </x:row>
    <x:row r="49">
      <x:c r="A49" s="38" t="n">
        <x:v>41333</x:v>
      </x:c>
      <x:c r="B49" s="40" t="n">
        <x:v>1185.2779867478648</x:v>
      </x:c>
    </x:row>
    <x:row r="50">
      <x:c r="A50" s="38" t="n">
        <x:v>41364</x:v>
      </x:c>
      <x:c r="B50" s="40" t="n">
        <x:v>1198.316044602091</x:v>
      </x:c>
    </x:row>
    <x:row r="51">
      <x:c r="A51" s="38" t="n">
        <x:v>41394</x:v>
      </x:c>
      <x:c r="B51" s="40" t="n">
        <x:v>1222.282365494133</x:v>
      </x:c>
    </x:row>
    <x:row r="52">
      <x:c r="A52" s="38" t="n">
        <x:v>41425</x:v>
      </x:c>
      <x:c r="B52" s="40" t="n">
        <x:v>1201.5035652807328</x:v>
      </x:c>
    </x:row>
    <x:row r="53">
      <x:c r="A53" s="38" t="n">
        <x:v>41455</x:v>
      </x:c>
      <x:c r="B53" s="40" t="n">
        <x:v>1175.0704868445566</x:v>
      </x:c>
    </x:row>
    <x:row r="54">
      <x:c r="A54" s="38" t="n">
        <x:v>41486</x:v>
      </x:c>
      <x:c r="B54" s="40" t="n">
        <x:v>1182.120909765624</x:v>
      </x:c>
    </x:row>
    <x:row r="55">
      <x:c r="A55" s="38" t="n">
        <x:v>41517</x:v>
      </x:c>
      <x:c r="B55" s="40" t="n">
        <x:v>1176.2103052167959</x:v>
      </x:c>
    </x:row>
    <x:row r="56">
      <x:c r="A56" s="38" t="n">
        <x:v>41547</x:v>
      </x:c>
      <x:c r="B56" s="40" t="n">
        <x:v>1199.7345113211318</x:v>
      </x:c>
    </x:row>
    <x:row r="57">
      <x:c r="A57" s="38" t="n">
        <x:v>41578</x:v>
      </x:c>
      <x:c r="B57" s="40" t="n">
        <x:v>1222.5294670362332</x:v>
      </x:c>
    </x:row>
    <x:row r="58">
      <x:c r="A58" s="38" t="n">
        <x:v>41608</x:v>
      </x:c>
      <x:c r="B58" s="40" t="n">
        <x:v>1242.089938508813</x:v>
      </x:c>
    </x:row>
    <x:row r="59">
      <x:c r="A59" s="38" t="n">
        <x:v>41639</x:v>
      </x:c>
      <x:c r="B59" s="40" t="n">
        <x:v>1240.8478485703042</x:v>
      </x:c>
    </x:row>
    <x:row r="60">
      <x:c r="A60" s="38" t="n">
        <x:v>41670</x:v>
      </x:c>
      <x:c r="B60" s="40" t="n">
        <x:v>1242.0886964188744</x:v>
      </x:c>
    </x:row>
    <x:row r="61">
      <x:c r="A61" s="38" t="n">
        <x:v>41698</x:v>
      </x:c>
      <x:c r="B61" s="40" t="n">
        <x:v>1265.688381650833</x:v>
      </x:c>
    </x:row>
    <x:row r="62">
      <x:c r="A62" s="38" t="n">
        <x:v>41729</x:v>
      </x:c>
      <x:c r="B62" s="40" t="n">
        <x:v>1265.688381650833</x:v>
      </x:c>
    </x:row>
    <x:row r="63">
      <x:c r="A63" s="38" t="n">
        <x:v>41759</x:v>
      </x:c>
      <x:c r="B63" s="40" t="n">
        <x:v>1269.4854467957853</x:v>
      </x:c>
    </x:row>
    <x:row r="64">
      <x:c r="A64" s="38" t="n">
        <x:v>41790</x:v>
      </x:c>
      <x:c r="B64" s="40" t="n">
        <x:v>1291.0666993913135</x:v>
      </x:c>
    </x:row>
    <x:row r="65">
      <x:c r="A65" s="38" t="n">
        <x:v>41820</x:v>
      </x:c>
      <x:c r="B65" s="40" t="n">
        <x:v>1303.9773663852266</x:v>
      </x:c>
    </x:row>
    <x:row r="66">
      <x:c r="A66" s="38" t="n">
        <x:v>41851</x:v>
      </x:c>
      <x:c r="B66" s="40" t="n">
        <x:v>1310.4972532171525</x:v>
      </x:c>
    </x:row>
    <x:row r="67">
      <x:c r="A67" s="38" t="n">
        <x:v>41882</x:v>
      </x:c>
      <x:c r="B67" s="40" t="n">
        <x:v>1339.32819278793</x:v>
      </x:c>
    </x:row>
    <x:row r="68">
      <x:c r="A68" s="38" t="n">
        <x:v>41912</x:v>
      </x:c>
      <x:c r="B68" s="40" t="n">
        <x:v>1335.310208209566</x:v>
      </x:c>
    </x:row>
    <x:row r="69">
      <x:c r="A69" s="38" t="n">
        <x:v>41943</x:v>
      </x:c>
      <x:c r="B69" s="40" t="n">
        <x:v>1340.6514490424045</x:v>
      </x:c>
    </x:row>
    <x:row r="70">
      <x:c r="A70" s="38" t="n">
        <x:v>41973</x:v>
      </x:c>
      <x:c r="B70" s="40" t="n">
        <x:v>1368.8051294722948</x:v>
      </x:c>
    </x:row>
    <x:row r="71">
      <x:c r="A71" s="38" t="n">
        <x:v>42004</x:v>
      </x:c>
      <x:c r="B71" s="40" t="n">
        <x:v>1372.9115448607115</x:v>
      </x:c>
    </x:row>
    <x:row r="72">
      <x:c r="A72" s="38" t="n">
        <x:v>42035</x:v>
      </x:c>
      <x:c r="B72" s="40" t="n">
        <x:v>1405.8614219373685</x:v>
      </x:c>
    </x:row>
    <x:row r="73">
      <x:c r="A73" s="38" t="n">
        <x:v>42063</x:v>
      </x:c>
      <x:c r="B73" s="40" t="n">
        <x:v>1425.5434818444917</x:v>
      </x:c>
    </x:row>
    <x:row r="74">
      <x:c r="A74" s="38" t="n">
        <x:v>42094</x:v>
      </x:c>
      <x:c r="B74" s="40" t="n">
        <x:v>1442.6500036266257</x:v>
      </x:c>
    </x:row>
    <x:row r="75">
      <x:c r="A75" s="38" t="n">
        <x:v>42124</x:v>
      </x:c>
      <x:c r="B75" s="40" t="n">
        <x:v>1421.0102535722262</x:v>
      </x:c>
    </x:row>
    <x:row r="76">
      <x:c r="A76" s="38" t="n">
        <x:v>42155</x:v>
      </x:c>
      <x:c r="B76" s="40" t="n">
        <x:v>1409.6421715436484</x:v>
      </x:c>
    </x:row>
    <x:row r="77">
      <x:c r="A77" s="38" t="n">
        <x:v>42185</x:v>
      </x:c>
      <x:c r="B77" s="40" t="n">
        <x:v>1365.9432642257952</x:v>
      </x:c>
    </x:row>
    <x:row r="78">
      <x:c r="A78" s="38" t="n">
        <x:v>42216</x:v>
      </x:c>
      <x:c r="B78" s="40" t="n">
        <x:v>1383.7005266607305</x:v>
      </x:c>
    </x:row>
    <x:row r="79">
      <x:c r="A79" s="38" t="n">
        <x:v>42247</x:v>
      </x:c>
      <x:c r="B79" s="40" t="n">
        <x:v>1333.8873077009441</x:v>
      </x:c>
    </x:row>
    <x:row r="80">
      <x:c r="A80" s="38" t="n">
        <x:v>42277</x:v>
      </x:c>
      <x:c r="B80" s="40" t="n">
        <x:v>1323.2162092393366</x:v>
      </x:c>
    </x:row>
    <x:row r="81">
      <x:c r="A81" s="38" t="n">
        <x:v>42308</x:v>
      </x:c>
      <x:c r="B81" s="40" t="n">
        <x:v>1348.357317214884</x:v>
      </x:c>
    </x:row>
    <x:row r="82">
      <x:c r="A82" s="38" t="n">
        <x:v>42338</x:v>
      </x:c>
      <x:c r="B82" s="40" t="n">
        <x:v>1353.7507464837436</x:v>
      </x:c>
    </x:row>
    <x:row r="83">
      <x:c r="A83" s="38" t="n">
        <x:v>42369</x:v>
      </x:c>
      <x:c r="B83" s="40" t="n">
        <x:v>1337.5057375259387</x:v>
      </x:c>
    </x:row>
    <x:row r="84">
      <x:c r="A84" s="38" t="n">
        <x:v>42400</x:v>
      </x:c>
      <x:c r="B84" s="40" t="n">
        <x:v>1345.5307719510943</x:v>
      </x:c>
    </x:row>
    <x:row r="85">
      <x:c r="A85" s="38" t="n">
        <x:v>42429</x:v>
      </x:c>
      <x:c r="B85" s="40" t="n">
        <x:v>1353.603956582801</x:v>
      </x:c>
    </x:row>
    <x:row r="86">
      <x:c r="A86" s="38" t="n">
        <x:v>42460</x:v>
      </x:c>
      <x:c r="B86" s="40" t="n">
        <x:v>1356.3111644959665</x:v>
      </x:c>
    </x:row>
    <x:row r="87">
      <x:c r="A87" s="38" t="n">
        <x:v>42490</x:v>
      </x:c>
      <x:c r="B87" s="40" t="n">
        <x:v>1353.5985421669745</x:v>
      </x:c>
    </x:row>
    <x:row r="88">
      <x:c r="A88" s="38" t="n">
        <x:v>42521</x:v>
      </x:c>
      <x:c r="B88" s="40" t="n">
        <x:v>1350.8913450826406</x:v>
      </x:c>
    </x:row>
    <x:row r="89">
      <x:c r="A89" s="38" t="n">
        <x:v>42551</x:v>
      </x:c>
      <x:c r="B89" s="40" t="n">
        <x:v>1381.961846019541</x:v>
      </x:c>
    </x:row>
    <x:row r="90">
      <x:c r="A90" s="38" t="n">
        <x:v>42582</x:v>
      </x:c>
      <x:c r="B90" s="40" t="n">
        <x:v>1394.3995026337168</x:v>
      </x:c>
    </x:row>
    <x:row r="91">
      <x:c r="A91" s="38" t="n">
        <x:v>42613</x:v>
      </x:c>
      <x:c r="B91" s="40" t="n">
        <x:v>1388.8219046231818</x:v>
      </x:c>
    </x:row>
    <x:row r="92">
      <x:c r="A92" s="38" t="n">
        <x:v>42643</x:v>
      </x:c>
      <x:c r="B92" s="40" t="n">
        <x:v>1392.9883703370513</x:v>
      </x:c>
    </x:row>
    <x:row r="93">
      <x:c r="A93" s="38" t="n">
        <x:v>42674</x:v>
      </x:c>
      <x:c r="B93" s="40" t="n">
        <x:v>1377.6654982633436</x:v>
      </x:c>
    </x:row>
    <x:row r="94">
      <x:c r="A94" s="38" t="n">
        <x:v>42704</x:v>
      </x:c>
      <x:c r="B94" s="40" t="n">
        <x:v>1336.3355333154432</x:v>
      </x:c>
    </x:row>
    <x:row r="95">
      <x:c r="A95" s="38" t="n">
        <x:v>42735</x:v>
      </x:c>
      <x:c r="B95" s="40" t="n">
        <x:v>1340.3445399153893</x:v>
      </x:c>
    </x:row>
    <x:row r="96">
      <x:c r="A96" s="38" t="n">
        <x:v>42766</x:v>
      </x:c>
      <x:c r="B96" s="40" t="n">
        <x:v>1356.428674394374</x:v>
      </x:c>
    </x:row>
    <x:row r="97">
      <x:c r="A97" s="38" t="n">
        <x:v>42794</x:v>
      </x:c>
      <x:c r="B97" s="40" t="n">
        <x:v>1380.8443905334727</x:v>
      </x:c>
    </x:row>
    <x:row r="98">
      <x:c r="A98" s="38" t="n">
        <x:v>42825</x:v>
      </x:c>
      <x:c r="B98" s="40" t="n">
        <x:v>1375.3210129713389</x:v>
      </x:c>
    </x:row>
    <x:row r="99">
      <x:c r="A99" s="38" t="n">
        <x:v>42855</x:v>
      </x:c>
      <x:c r="B99" s="40" t="n">
        <x:v>1380.822297023224</x:v>
      </x:c>
    </x:row>
    <x:row r="100">
      <x:c r="A100" s="38" t="n">
        <x:v>42886</x:v>
      </x:c>
      <x:c r="B100" s="40" t="n">
        <x:v>1387.72640850834</x:v>
      </x:c>
    </x:row>
    <x:row r="101">
      <x:c r="A101" s="38" t="n">
        <x:v>42916</x:v>
      </x:c>
      <x:c r="B101" s="40" t="n">
        <x:v>1369.6859651977315</x:v>
      </x:c>
    </x:row>
    <x:row r="102">
      <x:c r="A102" s="38" t="n">
        <x:v>42947</x:v>
      </x:c>
      <x:c r="B102" s="40" t="n">
        <x:v>1377.904080988918</x:v>
      </x:c>
    </x:row>
    <x:row r="103">
      <x:c r="A103" s="38" t="n">
        <x:v>42978</x:v>
      </x:c>
      <x:c r="B103" s="40" t="n">
        <x:v>1398.5726422037517</x:v>
      </x:c>
    </x:row>
    <x:row r="104">
      <x:c r="A104" s="38" t="n">
        <x:v>43008</x:v>
      </x:c>
      <x:c r="B104" s="40" t="n">
        <x:v>1385.985488423918</x:v>
      </x:c>
    </x:row>
    <x:row r="105">
      <x:c r="A105" s="38" t="n">
        <x:v>43039</x:v>
      </x:c>
      <x:c r="B105" s="40" t="n">
        <x:v>1410.9332272155486</x:v>
      </x:c>
    </x:row>
    <x:row r="106">
      <x:c r="A106" s="38" t="n">
        <x:v>43069</x:v>
      </x:c>
      <x:c r="B106" s="40" t="n">
        <x:v>1420.8097598060574</x:v>
      </x:c>
    </x:row>
    <x:row r="107">
      <x:c r="A107" s="38" t="n">
        <x:v>43100</x:v>
      </x:c>
      <x:c r="B107" s="40" t="n">
        <x:v>1426.4929988452816</x:v>
      </x:c>
    </x:row>
    <x:row r="108">
      <x:c r="A108" s="38" t="n">
        <x:v>43131</x:v>
      </x:c>
      <x:c r="B108" s="40" t="n">
        <x:v>1445.03740783027</x:v>
      </x:c>
    </x:row>
    <x:row r="109">
      <x:c r="A109" s="38" t="n">
        <x:v>43159</x:v>
      </x:c>
      <x:c r="B109" s="40" t="n">
        <x:v>1429.141996344137</x:v>
      </x:c>
    </x:row>
    <x:row r="110">
      <x:c r="A110" s="38" t="n">
        <x:v>43190</x:v>
      </x:c>
      <x:c r="B110" s="40" t="n">
        <x:v>1411.9922923880072</x:v>
      </x:c>
    </x:row>
    <x:row r="111">
      <x:c r="A111" s="38" t="n">
        <x:v>43220</x:v>
      </x:c>
      <x:c r="B111" s="40" t="n">
        <x:v>1427.524207604275</x:v>
      </x:c>
    </x:row>
    <x:row r="112">
      <x:c r="A112" s="38" t="n">
        <x:v>43251</x:v>
      </x:c>
      <x:c r="B112" s="40" t="n">
        <x:v>1441.7994496803178</x:v>
      </x:c>
    </x:row>
    <x:row r="113">
      <x:c r="A113" s="38" t="n">
        <x:v>43281</x:v>
      </x:c>
      <x:c r="B113" s="40" t="n">
        <x:v>1447.5666474790391</x:v>
      </x:c>
    </x:row>
    <x:row r="114">
      <x:c r="A114" s="38" t="n">
        <x:v>43312</x:v>
      </x:c>
      <x:c r="B114" s="40" t="n">
        <x:v>1449.014214126518</x:v>
      </x:c>
    </x:row>
    <x:row r="115">
      <x:c r="A115" s="38" t="n">
        <x:v>43343</x:v>
      </x:c>
      <x:c r="B115" s="40" t="n">
        <x:v>1460.6063278395302</x:v>
      </x:c>
    </x:row>
    <x:row r="116">
      <x:c r="A116" s="38" t="n">
        <x:v>43373</x:v>
      </x:c>
      <x:c r="B116" s="40" t="n">
        <x:v>1451.842689872493</x:v>
      </x:c>
    </x:row>
    <x:row r="117">
      <x:c r="A117" s="38" t="n">
        <x:v>43404</x:v>
      </x:c>
      <x:c r="B117" s="40" t="n">
        <x:v>1419.9021506952981</x:v>
      </x:c>
    </x:row>
    <x:row r="118">
      <x:c r="A118" s="38" t="n">
        <x:v>43434</x:v>
      </x:c>
      <x:c r="B118" s="40" t="n">
        <x:v>1421.3220528459933</x:v>
      </x:c>
    </x:row>
    <x:row r="119">
      <x:c r="A119" s="38" t="n">
        <x:v>43465</x:v>
      </x:c>
      <x:c r="B119" s="40" t="n">
        <x:v>1387.2103235776895</x:v>
      </x:c>
    </x:row>
    <x:row r="120">
      <x:c r="A120" s="38" t="n">
        <x:v>43496</x:v>
      </x:c>
      <x:c r="B120" s="40" t="n">
        <x:v>1426.0522126378648</x:v>
      </x:c>
    </x:row>
    <x:row r="121">
      <x:c r="A121" s="38" t="n">
        <x:v>43524</x:v>
      </x:c>
      <x:c r="B121" s="40" t="n">
        <x:v>1440.3127347642435</x:v>
      </x:c>
    </x:row>
    <x:row r="122">
      <x:c r="A122" s="38" t="n">
        <x:v>43555</x:v>
      </x:c>
      <x:c r="B122" s="40" t="n">
        <x:v>1477.7608658681138</x:v>
      </x:c>
    </x:row>
    <x:row r="123">
      <x:c r="A123" s="38" t="n">
        <x:v>43585</x:v>
      </x:c>
      <x:c r="B123" s="40" t="n">
        <x:v>1491.0607136609267</x:v>
      </x:c>
    </x:row>
    <x:row r="124">
      <x:c r="A124" s="38" t="n">
        <x:v>43616</x:v>
      </x:c>
      <x:c r="B124" s="40" t="n">
        <x:v>1450.8020743920817</x:v>
      </x:c>
    </x:row>
    <x:row r="125">
      <x:c r="A125" s="38" t="n">
        <x:v>43646</x:v>
      </x:c>
      <x:c r="B125" s="40" t="n">
        <x:v>1492.875334549452</x:v>
      </x:c>
    </x:row>
    <x:row r="126">
      <x:c r="A126" s="38" t="n">
        <x:v>43677</x:v>
      </x:c>
      <x:c r="B126" s="40" t="n">
        <x:v>1491.3824592149026</x:v>
      </x:c>
    </x:row>
    <x:row r="127">
      <x:c r="A127" s="38" t="n">
        <x:v>43708</x:v>
      </x:c>
      <x:c r="B127" s="40" t="n">
        <x:v>1489.8910767556877</x:v>
      </x:c>
    </x:row>
    <x:row r="128">
      <x:c r="A128" s="38" t="n">
        <x:v>43738</x:v>
      </x:c>
      <x:c r="B128" s="40" t="n">
        <x:v>1488.401185678932</x:v>
      </x:c>
    </x:row>
    <x:row r="129">
      <x:c r="A129" s="38" t="n">
        <x:v>43769</x:v>
      </x:c>
      <x:c r="B129" s="40" t="n">
        <x:v>1485.424383307574</x:v>
      </x:c>
    </x:row>
    <x:row r="130">
      <x:c r="A130" s="38" t="n">
        <x:v>43799</x:v>
      </x:c>
      <x:c r="B130" s="40" t="n">
        <x:v>1489.8806564574966</x:v>
      </x:c>
    </x:row>
    <x:row r="131">
      <x:c r="A131" s="38" t="n">
        <x:v>43830</x:v>
      </x:c>
      <x:c r="B131" s="40" t="n">
        <x:v>1500.309821052699</x:v>
      </x:c>
    </x:row>
    <x:row r="132">
      <x:c r="A132" s="38" t="n">
        <x:v>43861</x:v>
      </x:c>
      <x:c r="B132" s="40" t="n">
        <x:v>1510.8119898000677</x:v>
      </x:c>
    </x:row>
    <x:row r="133">
      <x:c r="A133" s="38" t="n">
        <x:v>43890</x:v>
      </x:c>
      <x:c r="B133" s="40" t="n">
        <x:v>1495.703869902067</x:v>
      </x:c>
    </x:row>
    <x:row r="134">
      <x:c r="A134" s="38" t="n">
        <x:v>43921</x:v>
      </x:c>
      <x:c r="B134" s="40" t="n">
        <x:v>1353.6120022613707</x:v>
      </x:c>
    </x:row>
    <x:row r="135">
      <x:c r="A135" s="38" t="n">
        <x:v>43951</x:v>
      </x:c>
      <x:c r="B135" s="40" t="n">
        <x:v>1398.281198335996</x:v>
      </x:c>
    </x:row>
    <x:row r="136">
      <x:c r="A136" s="38" t="n">
        <x:v>43982</x:v>
      </x:c>
      <x:c r="B136" s="40" t="n">
        <x:v>1388.4932299476438</x:v>
      </x:c>
    </x:row>
    <x:row r="137">
      <x:c r="A137" s="38" t="n">
        <x:v>44012</x:v>
      </x:c>
      <x:c r="B137" s="40" t="n">
        <x:v>1385.7162434877484</x:v>
      </x:c>
    </x:row>
    <x:row r="138">
      <x:c r="A138" s="38" t="n">
        <x:v>44043</x:v>
      </x:c>
      <x:c r="B138" s="40" t="n">
        <x:v>1389.8733922182116</x:v>
      </x:c>
    </x:row>
    <x:row r="139">
      <x:c r="A139" s="38" t="n">
        <x:v>44074</x:v>
      </x:c>
      <x:c r="B139" s="40" t="n">
        <x:v>1432.9594673769761</x:v>
      </x:c>
    </x:row>
    <x:row r="140">
      <x:c r="A140" s="38" t="n">
        <x:v>44104</x:v>
      </x:c>
      <x:c r="B140" s="40" t="n">
        <x:v>1408.5991564315675</x:v>
      </x:c>
    </x:row>
    <x:row r="141">
      <x:c r="A141" s="38" t="n">
        <x:v>44135</x:v>
      </x:c>
      <x:c r="B141" s="40" t="n">
        <x:v>1422.6851479958832</x:v>
      </x:c>
    </x:row>
    <x:row r="142">
      <x:c r="A142" s="38" t="n">
        <x:v>44165</x:v>
      </x:c>
      <x:c r="B142" s="40" t="n">
        <x:v>1414.1490371079078</x:v>
      </x:c>
    </x:row>
    <x:row r="143">
      <x:c r="A143" s="38" t="n">
        <x:v>44196</x:v>
      </x:c>
      <x:c r="B143" s="40" t="n">
        <x:v>1496.1696812601665</x:v>
      </x:c>
    </x:row>
    <x:row r="144">
      <x:c r="A144" s="38" t="n">
        <x:v>44227</x:v>
      </x:c>
      <x:c r="B144" s="40" t="n">
        <x:v>1533.5739232916706</x:v>
      </x:c>
    </x:row>
    <x:row r="145">
      <x:c r="A145" s="38" t="n">
        <x:v>44255</x:v>
      </x:c>
      <x:c r="B145" s="40" t="n">
        <x:v>1532.0403493683789</x:v>
      </x:c>
    </x:row>
    <x:row r="146">
      <x:c r="A146" s="38" t="n">
        <x:v>44286</x:v>
      </x:c>
      <x:c r="B146" s="40" t="n">
        <x:v>1499.867502031643</x:v>
      </x:c>
    </x:row>
    <x:row r="147">
      <x:c r="A147" s="38" t="n">
        <x:v>44316</x:v>
      </x:c>
      <x:c r="B147" s="40" t="n">
        <x:v>1529.8648520722759</x:v>
      </x:c>
    </x:row>
    <x:row r="148">
      <x:c r="A148" s="38" t="n">
        <x:v>44347</x:v>
      </x:c>
      <x:c r="B148" s="40" t="n">
        <x:v>1513.036338699481</x:v>
      </x:c>
    </x:row>
    <x:row r="149">
      <x:c r="A149" s="38" t="n">
        <x:v>44377</x:v>
      </x:c>
      <x:c r="B149" s="40" t="n">
        <x:v>1570.5317195700611</x:v>
      </x:c>
    </x:row>
    <x:row r="150">
      <x:c r="A150" s="38" t="n">
        <x:v>44408</x:v>
      </x:c>
      <x:c r="B150" s="40" t="n">
        <x:v>1592.519163644042</x:v>
      </x:c>
    </x:row>
    <x:row r="151">
      <x:c r="A151" s="38" t="n">
        <x:v>44439</x:v>
      </x:c>
      <x:c r="B151" s="40" t="n">
        <x:v>1635.517181062431</x:v>
      </x:c>
    </x:row>
    <x:row r="152">
      <x:c r="A152" s="38" t="n">
        <x:v>44469</x:v>
      </x:c>
      <x:c r="B152" s="40" t="n">
        <x:v>1589.722699992683</x:v>
      </x:c>
    </x:row>
    <x:row r="153">
      <x:c r="A153" s="38" t="n">
        <x:v>44500</x:v>
      </x:c>
      <x:c r="B153" s="40" t="n">
        <x:v>1670.7985576923097</x:v>
      </x:c>
    </x:row>
    <x:row r="154">
      <x:c r="A154" s="38" t="n">
        <x:v>44530</x:v>
      </x:c>
      <x:c r="B154" s="40" t="n">
        <x:v>1702.5437302884634</x:v>
      </x:c>
    </x:row>
    <x:row r="155">
      <x:c r="A155" s="38" t="n">
        <x:v>44561</x:v>
      </x:c>
      <x:c r="B155" s="40" t="n">
        <x:v>1700.841186558175</x:v>
      </x:c>
    </x:row>
    <x:row r="156">
      <x:c r="A156" s="38" t="n">
        <x:v>44592</x:v>
      </x:c>
      <x:c r="B156" s="40" t="n">
        <x:v>1666.8243628270113</x:v>
      </x:c>
    </x:row>
    <x:row r="157">
      <x:c r="A157" s="38" t="n">
        <x:v>44620</x:v>
      </x:c>
      <x:c r="B157" s="40" t="n">
        <x:v>1661.8238897385304</x:v>
      </x:c>
    </x:row>
    <x:row r="158">
      <x:c r="A158" s="38" t="n">
        <x:v>44651</x:v>
      </x:c>
      <x:c r="B158" s="40" t="n">
        <x:v>1676.780304746177</x:v>
      </x:c>
    </x:row>
    <x:row r="159">
      <x:c r="A159" s="38" t="n">
        <x:v>44681</x:v>
      </x:c>
      <x:c r="B159" s="40" t="n">
        <x:v>1661.6892820034616</x:v>
      </x:c>
    </x:row>
    <x:row r="160">
      <x:c r="A160" s="38" t="n">
        <x:v>44712</x:v>
      </x:c>
      <x:c r="B160" s="40" t="n">
        <x:v>1581.9281964672953</x:v>
      </x:c>
    </x:row>
    <x:row r="161">
      <x:c r="A161" s="38" t="n">
        <x:v>44742</x:v>
      </x:c>
      <x:c r="B161" s="40" t="n">
        <x:v>1539.2161351626783</x:v>
      </x:c>
    </x:row>
    <x:row r="162">
      <x:c r="A162" s="38" t="n">
        <x:v>44773</x:v>
      </x:c>
      <x:c r="B162" s="40" t="n">
        <x:v>1597.7063482988601</x:v>
      </x:c>
    </x:row>
    <x:row r="163">
      <x:c r="A163" s="38" t="n">
        <x:v>44804</x:v>
      </x:c>
      <x:c r="B163" s="40" t="n">
        <x:v>1568.9476340294807</x:v>
      </x:c>
    </x:row>
    <x:row r="164">
      <x:c r="A164" s="38" t="n">
        <x:v>44834</x:v>
      </x:c>
      <x:c r="B164" s="40" t="n">
        <x:v>1493.6381475960657</x:v>
      </x:c>
    </x:row>
    <x:row r="165">
      <x:c r="A165" s="38" t="n">
        <x:v>44865</x:v>
      </x:c>
      <x:c r="B165" s="40" t="n">
        <x:v>1505.5872527768342</x:v>
      </x:c>
    </x:row>
    <x:row r="166">
      <x:c r="A166" s="38" t="n">
        <x:v>44895</x:v>
      </x:c>
      <x:c r="B166" s="40" t="n">
        <x:v>1505.5872527768342</x:v>
      </x:c>
    </x:row>
    <x:row r="167">
      <x:c r="A167" s="38" t="n">
        <x:v>44926</x:v>
      </x:c>
      <x:c r="B167" s="40" t="n">
        <x:v>1499.564903765727</x:v>
      </x:c>
    </x:row>
    <x:row r="168">
      <x:c r="A168" s="38" t="n">
        <x:v>44957</x:v>
      </x:c>
      <x:c r="B168" s="40" t="n">
        <x:v>1517.5596826109156</x:v>
      </x:c>
    </x:row>
    <x:row r="169">
      <x:c r="A169" s="38" t="n">
        <x:v>44985</x:v>
      </x:c>
      <x:c r="B169" s="40" t="n">
        <x:v>1496.3138470543627</x:v>
      </x:c>
    </x:row>
    <x:row r="170">
      <x:c r="A170" s="38" t="n">
        <x:v>45016</x:v>
      </x:c>
      <x:c r="B170" s="40" t="n">
        <x:v>1536.7143209248304</x:v>
      </x:c>
    </x:row>
    <x:row r="171">
      <x:c r="A171" s="38" t="n">
        <x:v>45046</x:v>
      </x:c>
      <x:c r="B171" s="40" t="n">
        <x:v>1538.251035245755</x:v>
      </x:c>
    </x:row>
    <x:row r="172">
      <x:c r="A172" s="38" t="n">
        <x:v>45077</x:v>
      </x:c>
      <x:c r="B172" s="40" t="n">
        <x:v>1575.1690600916531</x:v>
      </x:c>
    </x:row>
    <x:row r="173">
      <x:c r="A173" s="38" t="n">
        <x:v>45107</x:v>
      </x:c>
      <x:c r="B173" s="40" t="n">
        <x:v>1592.4959197526612</x:v>
      </x:c>
    </x:row>
    <x:row r="174">
      <x:c r="A174" s="38" t="n">
        <x:v>45138</x:v>
      </x:c>
      <x:c r="B174" s="40" t="n">
        <x:v>1630.715821826725</x:v>
      </x:c>
    </x:row>
    <x:row r="175">
      <x:c r="A175" s="38" t="n">
        <x:v>45169</x:v>
      </x:c>
      <x:c r="B175" s="40" t="n">
        <x:v>1625.823674361245</x:v>
      </x:c>
    </x:row>
    <x:row r="176">
      <x:c r="A176" s="38" t="n">
        <x:v>45199</x:v>
      </x:c>
      <x:c r="B176" s="40" t="n">
        <x:v>1598.1846718971037</x:v>
      </x:c>
    </x:row>
    <x:row r="177">
      <x:c r="A177" s="38" t="n">
        <x:v>45230</x:v>
      </x:c>
      <x:c r="B177" s="40" t="n">
        <x:v>1593.3901178814124</x:v>
      </x:c>
    </x:row>
    <x:row r="178">
      <x:c r="A178" s="38" t="n">
        <x:v>45260</x:v>
      </x:c>
      <x:c r="B178" s="40" t="n">
        <x:v>1653.9389423609061</x:v>
      </x:c>
    </x:row>
    <x:row r="179">
      <x:c r="A179" s="38" t="n">
        <x:v>45291</x:v>
      </x:c>
      <x:c r="B179" s="40" t="n">
        <x:v>1675.4401486115978</x:v>
      </x:c>
    </x:row>
    <x:row r="180">
      <x:c r="A180" s="38" t="n">
        <x:v>45322</x:v>
      </x:c>
      <x:c r="B180" s="40" t="n">
        <x:v>1717.3261523268875</x:v>
      </x:c>
    </x:row>
    <x:row r="181">
      <x:c r="A181" s="38" t="n">
        <x:v>45351</x:v>
      </x:c>
      <x:c r="B181" s="40" t="n">
        <x:v>1775.7152415060018</x:v>
      </x:c>
    </x:row>
    <x:row r="182">
      <x:c r="A182" s="38" t="n">
        <x:v>45382</x:v>
      </x:c>
      <x:c r="B182" s="40" t="n">
        <x:v>1805.9024006116038</x:v>
      </x:c>
    </x:row>
    <x:row r="183">
      <x:c r="A183" s="38" t="n">
        <x:v>45412</x:v>
      </x:c>
      <x:c r="B183" s="40" t="n">
        <x:v>1800.4846934097689</x:v>
      </x:c>
    </x:row>
    <x:row r="184">
      <x:c r="A184" s="38" t="n">
        <x:v>45443</x:v>
      </x:c>
      <x:c r="B184" s="40" t="n">
        <x:v>1832.8934178911447</x:v>
      </x:c>
    </x:row>
    <x:row r="185">
      <x:c r="A185" s="38" t="n">
        <x:v>45473</x:v>
      </x:c>
      <x:c r="B185" s="40" t="n">
        <x:v>1865.8854994131855</x:v>
      </x:c>
    </x:row>
    <x:row r="186">
      <x:c r="A186" s="38" t="n">
        <x:v>45504</x:v>
      </x:c>
      <x:c r="B186" s="40" t="n">
        <x:v>1845.3607589196404</x:v>
      </x:c>
    </x:row>
    <x:row r="187">
      <x:c r="A187" s="38" t="n">
        <x:v>45535</x:v>
      </x:c>
      <x:c r="B187" s="40" t="n">
        <x:v>1850.896841196399</x:v>
      </x:c>
    </x:row>
    <x:row r="188">
      <x:c r="A188" s="38" t="n">
        <x:v>45565</x:v>
      </x:c>
      <x:c r="B188" s="40" t="n">
        <x:v>1856.449531719988</x:v>
      </x:c>
    </x:row>
    <x:row r="189">
      <x:c r="A189" s="38" t="n">
        <x:v>45596</x:v>
      </x:c>
      <x:c r="B189" s="40" t="n">
        <x:v>1860.1624307834281</x:v>
      </x:c>
    </x:row>
    <x:row r="190">
      <x:c r="A190" s="38" t="n">
        <x:v>45626</x:v>
      </x:c>
      <x:c r="B190" s="40" t="n">
        <x:v>1863.882755644995</x:v>
      </x:c>
    </x:row>
    <x:row r="191">
      <x:c r="A191" s="38" t="n">
        <x:v>45657</x:v>
      </x:c>
      <x:c r="B191" s="40" t="n">
        <x:v>1867.6105211562851</x:v>
      </x:c>
    </x:row>
    <x:row r="192">
      <x:c r="A192" s="38" t="n">
        <x:v>45688</x:v>
      </x:c>
      <x:c r="B192" s="40" t="n">
        <x:v>1893.757068452473</x:v>
      </x:c>
    </x:row>
    <x:row r="193">
      <x:c r="A193" s="38" t="n">
        <x:v>45716</x:v>
      </x:c>
      <x:c r="B193" s="40" t="n">
        <x:v>1876.7132548364007</x:v>
      </x:c>
    </x:row>
    <x:row r="194">
      <x:c r="A194" s="38" t="n">
        <x:v>45747</x:v>
      </x:c>
      <x:c r="B194" s="40" t="n">
        <x:v>1842.9324162493454</x:v>
      </x:c>
    </x:row>
    <x:row r="195">
      <x:c r="A195" s="38" t="n">
        <x:v>45777</x:v>
      </x:c>
      <x:c r="B195" s="40" t="n">
        <x:v>1844.7753486655945</x:v>
      </x:c>
    </x:row>
    <x:row r="196">
      <x:c r="A196" s="38" t="n">
        <x:v>45808</x:v>
      </x:c>
      <x:c r="B196" s="40" t="n">
        <x:v>1892.7395077309</x:v>
      </x:c>
    </x:row>
    <x:row r="197">
      <x:c r="A197" s="38" t="n">
        <x:v>45838</x:v>
      </x:c>
      <x:c r="B197" s="40" t="n">
        <x:v>1915.4523818236707</x:v>
      </x:c>
    </x:row>
    <x:row r="198">
      <x:c r="A198" s="38" t="n">
        <x:v>45869</x:v>
      </x:c>
      <x:c r="B198" s="40" t="n">
        <x:v>1938.4378104055547</x:v>
      </x:c>
    </x:row>
    <x:row r="199">
      <x:c r="A199" s="38" t="n">
        <x:v>45900</x:v>
      </x:c>
      <x:c r="B199" s="40" t="n">
        <x:v>1932.622496974338</x:v>
      </x:c>
    </x:row>
    <x:row r="200">
      <x:c r="A200" s="38" t="n">
        <x:v>45930</x:v>
      </x:c>
      <x:c r="B200" s="40" t="n">
        <x:v>1959.6792119319787</x:v>
      </x:c>
    </x:row>
    <x:row r="201">
      <x:c r="A201" s="38" t="n">
        <x:v>45961</x:v>
      </x:c>
      <x:c r="B201" s="40" t="n">
        <x:v>1998.8727961706184</x:v>
      </x:c>
    </x:row>
    <x:row r="202">
      <x:c r="A202" s="38" t="n">
        <x:v>45991</x:v>
      </x:c>
      <x:c r="B202" s="40" t="n">
        <x:v>1972.8874498204002</x:v>
      </x:c>
    </x:row>
    <x:row r="203">
      <x:c r="A203" s="38" t="n">
        <x:v>46022</x:v>
      </x:c>
      <x:c r="B203" s="40" t="n">
        <x:v>1974.8603372702205</x:v>
      </x:c>
    </x:row>
    <x:row r="204">
      <x:c r="A204" s="38" t="n">
        <x:v>46053</x:v>
      </x:c>
      <x:c r="B204" s="40" t="n">
        <x:v>2063.72905244738</x:v>
      </x:c>
    </x:row>
    <x:row r="205">
      <x:c r="A205" s="38" t="n">
        <x:v>46081</x:v>
      </x:c>
      <x:c r="B205" s="40" t="n">
        <x:v>2057.537865290038</x:v>
      </x:c>
    </x:row>
    <x:row r="206">
      <x:c r="A206" s="38" t="n">
        <x:v>46112</x:v>
      </x:c>
      <x:c r="B206" s="40" t="n">
        <x:v>1993.754191466047</x:v>
      </x:c>
    </x:row>
    <x:row r="207">
      <x:c r="A207" s="38" t="n">
        <x:v>46142</x:v>
      </x:c>
      <x:c r="B207" s="40" t="n">
        <x:v>2063.5355881673586</x:v>
      </x:c>
    </x:row>
    <x:row r="208">
      <x:c r="A208" s="38" t="n">
        <x:v>46173</x:v>
      </x:c>
      <x:c r="B208" s="40" t="n">
        <x:v>2104.806299930706</x:v>
      </x:c>
    </x:row>
    <x:row r="209">
      <x:c r="A209" s="38" t="n">
        <x:v>46203</x:v>
      </x:c>
      <x:c r="B209" s="40" t="n">
        <x:v>2149.0072322292503</x:v>
      </x:c>
    </x:row>
  </x:sheetData>
  <x:mergeCells>
    <x:mergeCell ref="A1:H1"/>
    <x:mergeCell ref="D3:H3"/>
    <x:mergeCell ref="D4:H4"/>
    <x:mergeCell ref="D5:H5"/>
    <x:mergeCell ref="D6:H6"/>
    <x:mergeCell ref="D8:H8"/>
    <x:mergeCell ref="D9:H9"/>
  </x:mergeCells>
  <x:pageMargins left="0.7" right="0.7" top="0.75" bottom="0.75" header="0.3" footer="0.3"/>
  <x:drawing xmlns:r="http://schemas.openxmlformats.org/officeDocument/2006/relationships" r:id="R08362289595c4370"/>
</x:worksheet>
</file>

<file path=xl/worksheets/sheet2.xml><?xml version="1.0" encoding="utf-8"?>
<x:worksheet xmlns:x="http://schemas.openxmlformats.org/spreadsheetml/2006/main">
  <x:sheetFormatPr defaultRowHeight="15"/>
  <x:cols>
    <x:col min="1" max="1" width="4.980000019073486" hidden="0" customWidth="1"/>
    <x:col min="2" max="2" width="3.9000000953674316" hidden="0" customWidth="1"/>
    <x:col min="3" max="3" width="5.519999980926514" hidden="0" customWidth="1"/>
    <x:col min="4" max="4" width="6.860000133514404" hidden="0" customWidth="1"/>
    <x:col min="5" max="5" width="22.610000610351562" hidden="0" customWidth="1"/>
    <x:col min="6" max="6" width="19.3799991607666" hidden="0" customWidth="1"/>
    <x:col min="7" max="7" width="15.34000015258789" hidden="0" customWidth="1"/>
    <x:col min="8" max="8" width="11.039999961853027" hidden="0" customWidth="1"/>
  </x:cols>
  <x:sheetData>
    <x:row r="1">
      <x:c r="A1" s="52" t="str">
        <x:v>Date</x:v>
      </x:c>
      <x:c r="B1" s="53" t="str">
        <x:v>Year</x:v>
      </x:c>
      <x:c r="C1" s="53" t="str">
        <x:v>Month</x:v>
      </x:c>
      <x:c r="D1" s="53" t="str">
        <x:v>Month #</x:v>
      </x:c>
      <x:c r="E1" s="54" t="str">
        <x:v>Monthly return % displayed</x:v>
      </x:c>
      <x:c r="F1" s="55" t="str">
        <x:v>Monthly return decimal</x:v>
      </x:c>
      <x:c r="G1" s="56" t="str">
        <x:v>NAV reconstructed</x:v>
      </x:c>
      <x:c r="H1" s="55" t="str">
        <x:v>Drawdown</x:v>
      </x:c>
      <x:c r="I1" s="49"/>
      <x:c r="J1" s="49"/>
      <x:c r="K1" s="49"/>
      <x:c r="L1" s="49"/>
      <x:c r="M1" s="49"/>
      <x:c r="N1" s="49"/>
      <x:c r="O1" s="49"/>
      <x:c r="P1" s="49"/>
      <x:c r="Q1" s="49"/>
      <x:c r="R1" s="49"/>
      <x:c r="S1" s="49"/>
      <x:c r="T1" s="49"/>
      <x:c r="U1" s="49"/>
      <x:c r="V1" s="49"/>
      <x:c r="W1" s="49"/>
      <x:c r="X1" s="49"/>
      <x:c r="Y1" s="49"/>
      <x:c r="Z1" s="49"/>
    </x:row>
    <x:row r="2">
      <x:c r="A2" t="n">
        <x:v>40298</x:v>
      </x:c>
      <x:c r="B2" t="n">
        <x:v>2010</x:v>
      </x:c>
      <x:c r="C2" t="str">
        <x:v>Apr</x:v>
      </x:c>
      <x:c r="D2" t="n">
        <x:v>4</x:v>
      </x:c>
      <x:c r="E2" t="n">
        <x:v>0</x:v>
      </x:c>
      <x:c r="F2" t="n">
        <x:f>E2/100</x:f>
        <x:v>0</x:v>
      </x:c>
      <x:c r="G2" t="n">
        <x:f>1000*(1+F2)</x:f>
        <x:v>1000</x:v>
      </x:c>
      <x:c r="H2" t="n">
        <x:f>G2/MAX($G$2:G2)-1</x:f>
        <x:v>0</x:v>
      </x:c>
    </x:row>
    <x:row r="3">
      <x:c r="A3" t="n">
        <x:v>40329</x:v>
      </x:c>
      <x:c r="B3" t="n">
        <x:v>2010</x:v>
      </x:c>
      <x:c r="C3" t="str">
        <x:v>Mag</x:v>
      </x:c>
      <x:c r="D3" t="n">
        <x:v>5</x:v>
      </x:c>
      <x:c r="E3" t="n">
        <x:v>1.3</x:v>
      </x:c>
      <x:c r="F3" t="n">
        <x:f>E3/100</x:f>
        <x:v>0.013000000000000001</x:v>
      </x:c>
      <x:c r="G3" t="n">
        <x:f>G2*(1+F3)</x:f>
        <x:v>1012.9999999999999</x:v>
      </x:c>
      <x:c r="H3" t="n">
        <x:f>G3/MAX($G$2:G3)-1</x:f>
        <x:v>0</x:v>
      </x:c>
    </x:row>
    <x:row r="4">
      <x:c r="A4" t="n">
        <x:v>40359</x:v>
      </x:c>
      <x:c r="B4" t="n">
        <x:v>2010</x:v>
      </x:c>
      <x:c r="C4" t="str">
        <x:v>Giu</x:v>
      </x:c>
      <x:c r="D4" t="n">
        <x:v>6</x:v>
      </x:c>
      <x:c r="E4" t="n">
        <x:v>1.1</x:v>
      </x:c>
      <x:c r="F4" t="n">
        <x:f>E4/100</x:f>
        <x:v>0.011000000000000001</x:v>
      </x:c>
      <x:c r="G4" t="n">
        <x:f>G3*(1+F4)</x:f>
        <x:v>1024.1429999999998</x:v>
      </x:c>
      <x:c r="H4" t="n">
        <x:f>G4/MAX($G$2:G4)-1</x:f>
        <x:v>0</x:v>
      </x:c>
    </x:row>
    <x:row r="5">
      <x:c r="A5" t="n">
        <x:v>40390</x:v>
      </x:c>
      <x:c r="B5" t="n">
        <x:v>2010</x:v>
      </x:c>
      <x:c r="C5" t="str">
        <x:v>Lug</x:v>
      </x:c>
      <x:c r="D5" t="n">
        <x:v>7</x:v>
      </x:c>
      <x:c r="E5" t="n">
        <x:v>-0.5</x:v>
      </x:c>
      <x:c r="F5" t="n">
        <x:f>E5/100</x:f>
        <x:v>-0.005</x:v>
      </x:c>
      <x:c r="G5" t="n">
        <x:f>G4*(1+F5)</x:f>
        <x:v>1019.0222849999998</x:v>
      </x:c>
      <x:c r="H5" t="n">
        <x:f>G5/MAX($G$2:G5)-1</x:f>
        <x:v>-0.0050000000000000044</x:v>
      </x:c>
    </x:row>
    <x:row r="6">
      <x:c r="A6" t="n">
        <x:v>40421</x:v>
      </x:c>
      <x:c r="B6" t="n">
        <x:v>2010</x:v>
      </x:c>
      <x:c r="C6" t="str">
        <x:v>Ago</x:v>
      </x:c>
      <x:c r="D6" t="n">
        <x:v>8</x:v>
      </x:c>
      <x:c r="E6" t="n">
        <x:v>3.2</x:v>
      </x:c>
      <x:c r="F6" t="n">
        <x:f>E6/100</x:f>
        <x:v>0.032</x:v>
      </x:c>
      <x:c r="G6" t="n">
        <x:f>G5*(1+F6)</x:f>
        <x:v>1051.6309981199997</x:v>
      </x:c>
      <x:c r="H6" t="n">
        <x:f>G6/MAX($G$2:G6)-1</x:f>
        <x:v>0</x:v>
      </x:c>
    </x:row>
    <x:row r="7">
      <x:c r="A7" t="n">
        <x:v>40451</x:v>
      </x:c>
      <x:c r="B7" t="n">
        <x:v>2010</x:v>
      </x:c>
      <x:c r="C7" t="str">
        <x:v>Set</x:v>
      </x:c>
      <x:c r="D7" t="n">
        <x:v>9</x:v>
      </x:c>
      <x:c r="E7" t="n">
        <x:v>-0.7</x:v>
      </x:c>
      <x:c r="F7" t="n">
        <x:f>E7/100</x:f>
        <x:v>-0.006999999999999999</x:v>
      </x:c>
      <x:c r="G7" t="n">
        <x:f>G6*(1+F7)</x:f>
        <x:v>1044.2695811331598</x:v>
      </x:c>
      <x:c r="H7" t="n">
        <x:f>G7/MAX($G$2:G7)-1</x:f>
        <x:v>-0.006999999999999895</x:v>
      </x:c>
    </x:row>
    <x:row r="8">
      <x:c r="A8" t="n">
        <x:v>40482</x:v>
      </x:c>
      <x:c r="B8" t="n">
        <x:v>2010</x:v>
      </x:c>
      <x:c r="C8" t="str">
        <x:v>Ott</x:v>
      </x:c>
      <x:c r="D8" t="n">
        <x:v>10</x:v>
      </x:c>
      <x:c r="E8" t="n">
        <x:v>0.1</x:v>
      </x:c>
      <x:c r="F8" t="n">
        <x:f>E8/100</x:f>
        <x:v>0.001</x:v>
      </x:c>
      <x:c r="G8" t="n">
        <x:f>G7*(1+F8)</x:f>
        <x:v>1045.3138507142928</x:v>
      </x:c>
      <x:c r="H8" t="n">
        <x:f>G8/MAX($G$2:G8)-1</x:f>
        <x:v>-0.006007000000000096</x:v>
      </x:c>
    </x:row>
    <x:row r="9">
      <x:c r="A9" t="n">
        <x:v>40512</x:v>
      </x:c>
      <x:c r="B9" t="n">
        <x:v>2010</x:v>
      </x:c>
      <x:c r="C9" t="str">
        <x:v>Nov</x:v>
      </x:c>
      <x:c r="D9" t="n">
        <x:v>11</x:v>
      </x:c>
      <x:c r="E9" t="n">
        <x:v>-1.3</x:v>
      </x:c>
      <x:c r="F9" t="n">
        <x:f>E9/100</x:f>
        <x:v>-0.013000000000000001</x:v>
      </x:c>
      <x:c r="G9" t="n">
        <x:f>G8*(1+F9)</x:f>
        <x:v>1031.724770655007</x:v>
      </x:c>
      <x:c r="H9" t="n">
        <x:f>G9/MAX($G$2:G9)-1</x:f>
        <x:v>-0.018928909000000105</x:v>
      </x:c>
    </x:row>
    <x:row r="10">
      <x:c r="A10" t="n">
        <x:v>40543</x:v>
      </x:c>
      <x:c r="B10" t="n">
        <x:v>2010</x:v>
      </x:c>
      <x:c r="C10" t="str">
        <x:v>Dic</x:v>
      </x:c>
      <x:c r="D10" t="n">
        <x:v>12</x:v>
      </x:c>
      <x:c r="E10" t="n">
        <x:v>0</x:v>
      </x:c>
      <x:c r="F10" t="n">
        <x:f>E10/100</x:f>
        <x:v>0</x:v>
      </x:c>
      <x:c r="G10" t="n">
        <x:f>G9*(1+F10)</x:f>
        <x:v>1031.724770655007</x:v>
      </x:c>
      <x:c r="H10" t="n">
        <x:f>G10/MAX($G$2:G10)-1</x:f>
        <x:v>-0.018928909000000105</x:v>
      </x:c>
    </x:row>
    <x:row r="11">
      <x:c r="A11" t="n">
        <x:v>40574</x:v>
      </x:c>
      <x:c r="B11" t="n">
        <x:v>2011</x:v>
      </x:c>
      <x:c r="C11" t="str">
        <x:v>Gen</x:v>
      </x:c>
      <x:c r="D11" t="n">
        <x:v>1</x:v>
      </x:c>
      <x:c r="E11" t="n">
        <x:v>-1.8</x:v>
      </x:c>
      <x:c r="F11" t="n">
        <x:f>E11/100</x:f>
        <x:v>-0.018000000000000002</x:v>
      </x:c>
      <x:c r="G11" t="n">
        <x:f>G10*(1+F11)</x:f>
        <x:v>1013.1537247832168</x:v>
      </x:c>
      <x:c r="H11" t="n">
        <x:f>G11/MAX($G$2:G11)-1</x:f>
        <x:v>-0.036588188638000174</x:v>
      </x:c>
    </x:row>
    <x:row r="12">
      <x:c r="A12" t="n">
        <x:v>40602</x:v>
      </x:c>
      <x:c r="B12" t="n">
        <x:v>2011</x:v>
      </x:c>
      <x:c r="C12" t="str">
        <x:v>Feb</x:v>
      </x:c>
      <x:c r="D12" t="n">
        <x:v>2</x:v>
      </x:c>
      <x:c r="E12" t="n">
        <x:v>1.5</x:v>
      </x:c>
      <x:c r="F12" t="n">
        <x:f>E12/100</x:f>
        <x:v>0.015</x:v>
      </x:c>
      <x:c r="G12" t="n">
        <x:f>G11*(1+F12)</x:f>
        <x:v>1028.351030654965</x:v>
      </x:c>
      <x:c r="H12" t="n">
        <x:f>G12/MAX($G$2:G12)-1</x:f>
        <x:v>-0.0221370114675703</x:v>
      </x:c>
    </x:row>
    <x:row r="13">
      <x:c r="A13" t="n">
        <x:v>40633</x:v>
      </x:c>
      <x:c r="B13" t="n">
        <x:v>2011</x:v>
      </x:c>
      <x:c r="C13" t="str">
        <x:v>Mar</x:v>
      </x:c>
      <x:c r="D13" t="n">
        <x:v>3</x:v>
      </x:c>
      <x:c r="E13" t="n">
        <x:v>-0.1</x:v>
      </x:c>
      <x:c r="F13" t="n">
        <x:f>E13/100</x:f>
        <x:v>-0.001</x:v>
      </x:c>
      <x:c r="G13" t="n">
        <x:f>G12*(1+F13)</x:f>
        <x:v>1027.32267962431</x:v>
      </x:c>
      <x:c r="H13" t="n">
        <x:f>G13/MAX($G$2:G13)-1</x:f>
        <x:v>-0.023114874456102608</x:v>
      </x:c>
    </x:row>
    <x:row r="14">
      <x:c r="A14" t="n">
        <x:v>40663</x:v>
      </x:c>
      <x:c r="B14" t="n">
        <x:v>2011</x:v>
      </x:c>
      <x:c r="C14" t="str">
        <x:v>Apr</x:v>
      </x:c>
      <x:c r="D14" t="n">
        <x:v>4</x:v>
      </x:c>
      <x:c r="E14" t="n">
        <x:v>3.5</x:v>
      </x:c>
      <x:c r="F14" t="n">
        <x:f>E14/100</x:f>
        <x:v>0.035</x:v>
      </x:c>
      <x:c r="G14" t="n">
        <x:f>G13*(1+F14)</x:f>
        <x:v>1063.2789734111607</x:v>
      </x:c>
      <x:c r="H14" t="n">
        <x:f>G14/MAX($G$2:G14)-1</x:f>
        <x:v>0</x:v>
      </x:c>
    </x:row>
    <x:row r="15">
      <x:c r="A15" t="n">
        <x:v>40694</x:v>
      </x:c>
      <x:c r="B15" t="n">
        <x:v>2011</x:v>
      </x:c>
      <x:c r="C15" t="str">
        <x:v>Mag</x:v>
      </x:c>
      <x:c r="D15" t="n">
        <x:v>5</x:v>
      </x:c>
      <x:c r="E15" t="n">
        <x:v>-0.9</x:v>
      </x:c>
      <x:c r="F15" t="n">
        <x:f>E15/100</x:f>
        <x:v>-0.009000000000000001</x:v>
      </x:c>
      <x:c r="G15" t="n">
        <x:f>G14*(1+F15)</x:f>
        <x:v>1053.7094626504602</x:v>
      </x:c>
      <x:c r="H15" t="n">
        <x:f>G15/MAX($G$2:G15)-1</x:f>
        <x:v>-0.009000000000000008</x:v>
      </x:c>
    </x:row>
    <x:row r="16">
      <x:c r="A16" t="n">
        <x:v>40724</x:v>
      </x:c>
      <x:c r="B16" t="n">
        <x:v>2011</x:v>
      </x:c>
      <x:c r="C16" t="str">
        <x:v>Giu</x:v>
      </x:c>
      <x:c r="D16" t="n">
        <x:v>6</x:v>
      </x:c>
      <x:c r="E16" t="n">
        <x:v>-0.7</x:v>
      </x:c>
      <x:c r="F16" t="n">
        <x:f>E16/100</x:f>
        <x:v>-0.006999999999999999</x:v>
      </x:c>
      <x:c r="G16" t="n">
        <x:f>G15*(1+F16)</x:f>
        <x:v>1046.333496411907</x:v>
      </x:c>
      <x:c r="H16" t="n">
        <x:f>G16/MAX($G$2:G16)-1</x:f>
        <x:v>-0.01593700000000009</x:v>
      </x:c>
    </x:row>
    <x:row r="17">
      <x:c r="A17" t="n">
        <x:v>40755</x:v>
      </x:c>
      <x:c r="B17" t="n">
        <x:v>2011</x:v>
      </x:c>
      <x:c r="C17" t="str">
        <x:v>Lug</x:v>
      </x:c>
      <x:c r="D17" t="n">
        <x:v>7</x:v>
      </x:c>
      <x:c r="E17" t="n">
        <x:v>2.8</x:v>
      </x:c>
      <x:c r="F17" t="n">
        <x:f>E17/100</x:f>
        <x:v>0.027999999999999997</x:v>
      </x:c>
      <x:c r="G17" t="n">
        <x:f>G16*(1+F17)</x:f>
        <x:v>1075.6308343114404</x:v>
      </x:c>
      <x:c r="H17" t="n">
        <x:f>G17/MAX($G$2:G17)-1</x:f>
        <x:v>0</x:v>
      </x:c>
    </x:row>
    <x:row r="18">
      <x:c r="A18" t="n">
        <x:v>40786</x:v>
      </x:c>
      <x:c r="B18" t="n">
        <x:v>2011</x:v>
      </x:c>
      <x:c r="C18" t="str">
        <x:v>Ago</x:v>
      </x:c>
      <x:c r="D18" t="n">
        <x:v>8</x:v>
      </x:c>
      <x:c r="E18" t="n">
        <x:v>-0.3</x:v>
      </x:c>
      <x:c r="F18" t="n">
        <x:f>E18/100</x:f>
        <x:v>-0.003</x:v>
      </x:c>
      <x:c r="G18" t="n">
        <x:f>G17*(1+F18)</x:f>
        <x:v>1072.403941808506</x:v>
      </x:c>
      <x:c r="H18" t="n">
        <x:f>G18/MAX($G$2:G18)-1</x:f>
        <x:v>-0.0030000000000000027</x:v>
      </x:c>
    </x:row>
    <x:row r="19">
      <x:c r="A19" t="n">
        <x:v>40816</x:v>
      </x:c>
      <x:c r="B19" t="n">
        <x:v>2011</x:v>
      </x:c>
      <x:c r="C19" t="str">
        <x:v>Set</x:v>
      </x:c>
      <x:c r="D19" t="n">
        <x:v>9</x:v>
      </x:c>
      <x:c r="E19" t="n">
        <x:v>-0.8</x:v>
      </x:c>
      <x:c r="F19" t="n">
        <x:f>E19/100</x:f>
        <x:v>-0.008</x:v>
      </x:c>
      <x:c r="G19" t="n">
        <x:f>G18*(1+F19)</x:f>
        <x:v>1063.824710274038</x:v>
      </x:c>
      <x:c r="H19" t="n">
        <x:f>G19/MAX($G$2:G19)-1</x:f>
        <x:v>-0.010976000000000097</x:v>
      </x:c>
    </x:row>
    <x:row r="20">
      <x:c r="A20" t="n">
        <x:v>40847</x:v>
      </x:c>
      <x:c r="B20" t="n">
        <x:v>2011</x:v>
      </x:c>
      <x:c r="C20" t="str">
        <x:v>Ott</x:v>
      </x:c>
      <x:c r="D20" t="n">
        <x:v>10</x:v>
      </x:c>
      <x:c r="E20" t="n">
        <x:v>1.6</x:v>
      </x:c>
      <x:c r="F20" t="n">
        <x:f>E20/100</x:f>
        <x:v>0.016</x:v>
      </x:c>
      <x:c r="G20" t="n">
        <x:f>G19*(1+F20)</x:f>
        <x:v>1080.8459056384224</x:v>
      </x:c>
      <x:c r="H20" t="n">
        <x:f>G20/MAX($G$2:G20)-1</x:f>
        <x:v>0</x:v>
      </x:c>
    </x:row>
    <x:row r="21">
      <x:c r="A21" t="n">
        <x:v>40877</x:v>
      </x:c>
      <x:c r="B21" t="n">
        <x:v>2011</x:v>
      </x:c>
      <x:c r="C21" t="str">
        <x:v>Nov</x:v>
      </x:c>
      <x:c r="D21" t="n">
        <x:v>11</x:v>
      </x:c>
      <x:c r="E21" t="n">
        <x:v>-0.1</x:v>
      </x:c>
      <x:c r="F21" t="n">
        <x:f>E21/100</x:f>
        <x:v>-0.001</x:v>
      </x:c>
      <x:c r="G21" t="n">
        <x:f>G20*(1+F21)</x:f>
        <x:v>1079.765059732784</x:v>
      </x:c>
      <x:c r="H21" t="n">
        <x:f>G21/MAX($G$2:G21)-1</x:f>
        <x:v>-0.0010000000000000009</x:v>
      </x:c>
    </x:row>
    <x:row r="22">
      <x:c r="A22" t="n">
        <x:v>40908</x:v>
      </x:c>
      <x:c r="B22" t="n">
        <x:v>2011</x:v>
      </x:c>
      <x:c r="C22" t="str">
        <x:v>Dic</x:v>
      </x:c>
      <x:c r="D22" t="n">
        <x:v>12</x:v>
      </x:c>
      <x:c r="E22" t="n">
        <x:v>0.6</x:v>
      </x:c>
      <x:c r="F22" t="n">
        <x:f>E22/100</x:f>
        <x:v>0.006</x:v>
      </x:c>
      <x:c r="G22" t="n">
        <x:f>G21*(1+F22)</x:f>
        <x:v>1086.2436500911808</x:v>
      </x:c>
      <x:c r="H22" t="n">
        <x:f>G22/MAX($G$2:G22)-1</x:f>
        <x:v>0</x:v>
      </x:c>
    </x:row>
    <x:row r="23">
      <x:c r="A23" t="n">
        <x:v>40939</x:v>
      </x:c>
      <x:c r="B23" t="n">
        <x:v>2012</x:v>
      </x:c>
      <x:c r="C23" t="str">
        <x:v>Gen</x:v>
      </x:c>
      <x:c r="D23" t="n">
        <x:v>1</x:v>
      </x:c>
      <x:c r="E23" t="n">
        <x:v>2.3</x:v>
      </x:c>
      <x:c r="F23" t="n">
        <x:f>E23/100</x:f>
        <x:v>0.023</x:v>
      </x:c>
      <x:c r="G23" t="n">
        <x:f>G22*(1+F23)</x:f>
        <x:v>1111.227254043278</x:v>
      </x:c>
      <x:c r="H23" t="n">
        <x:f>G23/MAX($G$2:G23)-1</x:f>
        <x:v>0</x:v>
      </x:c>
    </x:row>
    <x:row r="24">
      <x:c r="A24" t="n">
        <x:v>40968</x:v>
      </x:c>
      <x:c r="B24" t="n">
        <x:v>2012</x:v>
      </x:c>
      <x:c r="C24" t="str">
        <x:v>Feb</x:v>
      </x:c>
      <x:c r="D24" t="n">
        <x:v>2</x:v>
      </x:c>
      <x:c r="E24" t="n">
        <x:v>0.7</x:v>
      </x:c>
      <x:c r="F24" t="n">
        <x:f>E24/100</x:f>
        <x:v>0.006999999999999999</x:v>
      </x:c>
      <x:c r="G24" t="n">
        <x:f>G23*(1+F24)</x:f>
        <x:v>1119.005844821581</x:v>
      </x:c>
      <x:c r="H24" t="n">
        <x:f>G24/MAX($G$2:G24)-1</x:f>
        <x:v>0</x:v>
      </x:c>
    </x:row>
    <x:row r="25">
      <x:c r="A25" t="n">
        <x:v>40999</x:v>
      </x:c>
      <x:c r="B25" t="n">
        <x:v>2012</x:v>
      </x:c>
      <x:c r="C25" t="str">
        <x:v>Mar</x:v>
      </x:c>
      <x:c r="D25" t="n">
        <x:v>3</x:v>
      </x:c>
      <x:c r="E25" t="n">
        <x:v>-0.2</x:v>
      </x:c>
      <x:c r="F25" t="n">
        <x:f>E25/100</x:f>
        <x:v>-0.002</x:v>
      </x:c>
      <x:c r="G25" t="n">
        <x:f>G24*(1+F25)</x:f>
        <x:v>1116.7678331319378</x:v>
      </x:c>
      <x:c r="H25" t="n">
        <x:f>G25/MAX($G$2:G25)-1</x:f>
        <x:v>-0.0020000000000000018</x:v>
      </x:c>
    </x:row>
    <x:row r="26">
      <x:c r="A26" t="n">
        <x:v>41029</x:v>
      </x:c>
      <x:c r="B26" t="n">
        <x:v>2012</x:v>
      </x:c>
      <x:c r="C26" t="str">
        <x:v>Apr</x:v>
      </x:c>
      <x:c r="D26" t="n">
        <x:v>4</x:v>
      </x:c>
      <x:c r="E26" t="n">
        <x:v>1</x:v>
      </x:c>
      <x:c r="F26" t="n">
        <x:f>E26/100</x:f>
        <x:v>0.01</x:v>
      </x:c>
      <x:c r="G26" t="n">
        <x:f>G25*(1+F26)</x:f>
        <x:v>1127.9355114632572</x:v>
      </x:c>
      <x:c r="H26" t="n">
        <x:f>G26/MAX($G$2:G26)-1</x:f>
        <x:v>0</x:v>
      </x:c>
    </x:row>
    <x:row r="27">
      <x:c r="A27" t="n">
        <x:v>41060</x:v>
      </x:c>
      <x:c r="B27" t="n">
        <x:v>2012</x:v>
      </x:c>
      <x:c r="C27" t="str">
        <x:v>Mag</x:v>
      </x:c>
      <x:c r="D27" t="n">
        <x:v>5</x:v>
      </x:c>
      <x:c r="E27" t="n">
        <x:v>0.3</x:v>
      </x:c>
      <x:c r="F27" t="n">
        <x:f>E27/100</x:f>
        <x:v>0.003</x:v>
      </x:c>
      <x:c r="G27" t="n">
        <x:f>G26*(1+F27)</x:f>
        <x:v>1131.3193179976467</x:v>
      </x:c>
      <x:c r="H27" t="n">
        <x:f>G27/MAX($G$2:G27)-1</x:f>
        <x:v>0</x:v>
      </x:c>
    </x:row>
    <x:row r="28">
      <x:c r="A28" t="n">
        <x:v>41090</x:v>
      </x:c>
      <x:c r="B28" t="n">
        <x:v>2012</x:v>
      </x:c>
      <x:c r="C28" t="str">
        <x:v>Giu</x:v>
      </x:c>
      <x:c r="D28" t="n">
        <x:v>6</x:v>
      </x:c>
      <x:c r="E28" t="n">
        <x:v>0.4</x:v>
      </x:c>
      <x:c r="F28" t="n">
        <x:f>E28/100</x:f>
        <x:v>0.004</x:v>
      </x:c>
      <x:c r="G28" t="n">
        <x:f>G27*(1+F28)</x:f>
        <x:v>1135.8445952696372</x:v>
      </x:c>
      <x:c r="H28" t="n">
        <x:f>G28/MAX($G$2:G28)-1</x:f>
        <x:v>0</x:v>
      </x:c>
    </x:row>
    <x:row r="29">
      <x:c r="A29" t="n">
        <x:v>41121</x:v>
      </x:c>
      <x:c r="B29" t="n">
        <x:v>2012</x:v>
      </x:c>
      <x:c r="C29" t="str">
        <x:v>Lug</x:v>
      </x:c>
      <x:c r="D29" t="n">
        <x:v>7</x:v>
      </x:c>
      <x:c r="E29" t="n">
        <x:v>2.2</x:v>
      </x:c>
      <x:c r="F29" t="n">
        <x:f>E29/100</x:f>
        <x:v>0.022000000000000002</x:v>
      </x:c>
      <x:c r="G29" t="n">
        <x:f>G28*(1+F29)</x:f>
        <x:v>1160.8331763655692</x:v>
      </x:c>
      <x:c r="H29" t="n">
        <x:f>G29/MAX($G$2:G29)-1</x:f>
        <x:v>0</x:v>
      </x:c>
    </x:row>
    <x:row r="30">
      <x:c r="A30" t="n">
        <x:v>41152</x:v>
      </x:c>
      <x:c r="B30" t="n">
        <x:v>2012</x:v>
      </x:c>
      <x:c r="C30" t="str">
        <x:v>Ago</x:v>
      </x:c>
      <x:c r="D30" t="n">
        <x:v>8</x:v>
      </x:c>
      <x:c r="E30" t="n">
        <x:v>0.6</x:v>
      </x:c>
      <x:c r="F30" t="n">
        <x:f>E30/100</x:f>
        <x:v>0.006</x:v>
      </x:c>
      <x:c r="G30" t="n">
        <x:f>G29*(1+F30)</x:f>
        <x:v>1167.7981754237626</x:v>
      </x:c>
      <x:c r="H30" t="n">
        <x:f>G30/MAX($G$2:G30)-1</x:f>
        <x:v>0</x:v>
      </x:c>
    </x:row>
    <x:row r="31">
      <x:c r="A31" t="n">
        <x:v>41182</x:v>
      </x:c>
      <x:c r="B31" t="n">
        <x:v>2012</x:v>
      </x:c>
      <x:c r="C31" t="str">
        <x:v>Set</x:v>
      </x:c>
      <x:c r="D31" t="n">
        <x:v>9</x:v>
      </x:c>
      <x:c r="E31" t="n">
        <x:v>0.5</x:v>
      </x:c>
      <x:c r="F31" t="n">
        <x:f>E31/100</x:f>
        <x:v>0.005</x:v>
      </x:c>
      <x:c r="G31" t="n">
        <x:f>G30*(1+F31)</x:f>
        <x:v>1173.6371663008813</x:v>
      </x:c>
      <x:c r="H31" t="n">
        <x:f>G31/MAX($G$2:G31)-1</x:f>
        <x:v>0</x:v>
      </x:c>
    </x:row>
    <x:row r="32">
      <x:c r="A32" t="n">
        <x:v>41213</x:v>
      </x:c>
      <x:c r="B32" t="n">
        <x:v>2012</x:v>
      </x:c>
      <x:c r="C32" t="str">
        <x:v>Ott</x:v>
      </x:c>
      <x:c r="D32" t="n">
        <x:v>10</x:v>
      </x:c>
      <x:c r="E32" t="n">
        <x:v>-0.4</x:v>
      </x:c>
      <x:c r="F32" t="n">
        <x:f>E32/100</x:f>
        <x:v>-0.004</x:v>
      </x:c>
      <x:c r="G32" t="n">
        <x:f>G31*(1+F32)</x:f>
        <x:v>1168.9426176356778</x:v>
      </x:c>
      <x:c r="H32" t="n">
        <x:f>G32/MAX($G$2:G32)-1</x:f>
        <x:v>-0.0039999999999998925</x:v>
      </x:c>
    </x:row>
    <x:row r="33">
      <x:c r="A33" t="n">
        <x:v>41243</x:v>
      </x:c>
      <x:c r="B33" t="n">
        <x:v>2012</x:v>
      </x:c>
      <x:c r="C33" t="str">
        <x:v>Nov</x:v>
      </x:c>
      <x:c r="D33" t="n">
        <x:v>11</x:v>
      </x:c>
      <x:c r="E33" t="n">
        <x:v>1</x:v>
      </x:c>
      <x:c r="F33" t="n">
        <x:f>E33/100</x:f>
        <x:v>0.01</x:v>
      </x:c>
      <x:c r="G33" t="n">
        <x:f>G32*(1+F33)</x:f>
        <x:v>1180.6320438120347</x:v>
      </x:c>
      <x:c r="H33" t="n">
        <x:f>G33/MAX($G$2:G33)-1</x:f>
        <x:v>0</x:v>
      </x:c>
    </x:row>
    <x:row r="34">
      <x:c r="A34" t="n">
        <x:v>41274</x:v>
      </x:c>
      <x:c r="B34" t="n">
        <x:v>2012</x:v>
      </x:c>
      <x:c r="C34" t="str">
        <x:v>Dic</x:v>
      </x:c>
      <x:c r="D34" t="n">
        <x:v>12</x:v>
      </x:c>
      <x:c r="E34" t="n">
        <x:v>-0.3</x:v>
      </x:c>
      <x:c r="F34" t="n">
        <x:f>E34/100</x:f>
        <x:v>-0.003</x:v>
      </x:c>
      <x:c r="G34" t="n">
        <x:f>G33*(1+F34)</x:f>
        <x:v>1177.0901476805986</x:v>
      </x:c>
      <x:c r="H34" t="n">
        <x:f>G34/MAX($G$2:G34)-1</x:f>
        <x:v>-0.0029999999999998916</x:v>
      </x:c>
    </x:row>
    <x:row r="35">
      <x:c r="A35" t="n">
        <x:v>41305</x:v>
      </x:c>
      <x:c r="B35" t="n">
        <x:v>2013</x:v>
      </x:c>
      <x:c r="C35" t="str">
        <x:v>Gen</x:v>
      </x:c>
      <x:c r="D35" t="n">
        <x:v>1</x:v>
      </x:c>
      <x:c r="E35" t="n">
        <x:v>-0.4</x:v>
      </x:c>
      <x:c r="F35" t="n">
        <x:f>E35/100</x:f>
        <x:v>-0.004</x:v>
      </x:c>
      <x:c r="G35" t="n">
        <x:f>G34*(1+F35)</x:f>
        <x:v>1172.3817870898763</x:v>
      </x:c>
      <x:c r="H35" t="n">
        <x:f>G35/MAX($G$2:G35)-1</x:f>
        <x:v>-0.006987999999999883</x:v>
      </x:c>
    </x:row>
    <x:row r="36">
      <x:c r="A36" t="n">
        <x:v>41333</x:v>
      </x:c>
      <x:c r="B36" t="n">
        <x:v>2013</x:v>
      </x:c>
      <x:c r="C36" t="str">
        <x:v>Feb</x:v>
      </x:c>
      <x:c r="D36" t="n">
        <x:v>2</x:v>
      </x:c>
      <x:c r="E36" t="n">
        <x:v>1.1</x:v>
      </x:c>
      <x:c r="F36" t="n">
        <x:f>E36/100</x:f>
        <x:v>0.011000000000000001</x:v>
      </x:c>
      <x:c r="G36" t="n">
        <x:f>G35*(1+F36)</x:f>
        <x:v>1185.2779867478648</x:v>
      </x:c>
      <x:c r="H36" t="n">
        <x:f>G36/MAX($G$2:G36)-1</x:f>
        <x:v>0</x:v>
      </x:c>
    </x:row>
    <x:row r="37">
      <x:c r="A37" t="n">
        <x:v>41364</x:v>
      </x:c>
      <x:c r="B37" t="n">
        <x:v>2013</x:v>
      </x:c>
      <x:c r="C37" t="str">
        <x:v>Mar</x:v>
      </x:c>
      <x:c r="D37" t="n">
        <x:v>3</x:v>
      </x:c>
      <x:c r="E37" t="n">
        <x:v>1.1</x:v>
      </x:c>
      <x:c r="F37" t="n">
        <x:f>E37/100</x:f>
        <x:v>0.011000000000000001</x:v>
      </x:c>
      <x:c r="G37" t="n">
        <x:f>G36*(1+F37)</x:f>
        <x:v>1198.316044602091</x:v>
      </x:c>
      <x:c r="H37" t="n">
        <x:f>G37/MAX($G$2:G37)-1</x:f>
        <x:v>0</x:v>
      </x:c>
    </x:row>
    <x:row r="38">
      <x:c r="A38" t="n">
        <x:v>41394</x:v>
      </x:c>
      <x:c r="B38" t="n">
        <x:v>2013</x:v>
      </x:c>
      <x:c r="C38" t="str">
        <x:v>Apr</x:v>
      </x:c>
      <x:c r="D38" t="n">
        <x:v>4</x:v>
      </x:c>
      <x:c r="E38" t="n">
        <x:v>2</x:v>
      </x:c>
      <x:c r="F38" t="n">
        <x:f>E38/100</x:f>
        <x:v>0.02</x:v>
      </x:c>
      <x:c r="G38" t="n">
        <x:f>G37*(1+F38)</x:f>
        <x:v>1222.282365494133</x:v>
      </x:c>
      <x:c r="H38" t="n">
        <x:f>G38/MAX($G$2:G38)-1</x:f>
        <x:v>0</x:v>
      </x:c>
    </x:row>
    <x:row r="39">
      <x:c r="A39" t="n">
        <x:v>41425</x:v>
      </x:c>
      <x:c r="B39" t="n">
        <x:v>2013</x:v>
      </x:c>
      <x:c r="C39" t="str">
        <x:v>Mag</x:v>
      </x:c>
      <x:c r="D39" t="n">
        <x:v>5</x:v>
      </x:c>
      <x:c r="E39" t="n">
        <x:v>-1.7</x:v>
      </x:c>
      <x:c r="F39" t="n">
        <x:f>E39/100</x:f>
        <x:v>-0.017</x:v>
      </x:c>
      <x:c r="G39" t="n">
        <x:f>G38*(1+F39)</x:f>
        <x:v>1201.5035652807328</x:v>
      </x:c>
      <x:c r="H39" t="n">
        <x:f>G39/MAX($G$2:G39)-1</x:f>
        <x:v>-0.017000000000000015</x:v>
      </x:c>
    </x:row>
    <x:row r="40">
      <x:c r="A40" t="n">
        <x:v>41455</x:v>
      </x:c>
      <x:c r="B40" t="n">
        <x:v>2013</x:v>
      </x:c>
      <x:c r="C40" t="str">
        <x:v>Giu</x:v>
      </x:c>
      <x:c r="D40" t="n">
        <x:v>6</x:v>
      </x:c>
      <x:c r="E40" t="n">
        <x:v>-2.2</x:v>
      </x:c>
      <x:c r="F40" t="n">
        <x:f>E40/100</x:f>
        <x:v>-0.022000000000000002</x:v>
      </x:c>
      <x:c r="G40" t="n">
        <x:f>G39*(1+F40)</x:f>
        <x:v>1175.0704868445566</x:v>
      </x:c>
      <x:c r="H40" t="n">
        <x:f>G40/MAX($G$2:G40)-1</x:f>
        <x:v>-0.03862600000000005</x:v>
      </x:c>
    </x:row>
    <x:row r="41">
      <x:c r="A41" t="n">
        <x:v>41486</x:v>
      </x:c>
      <x:c r="B41" t="n">
        <x:v>2013</x:v>
      </x:c>
      <x:c r="C41" t="str">
        <x:v>Lug</x:v>
      </x:c>
      <x:c r="D41" t="n">
        <x:v>7</x:v>
      </x:c>
      <x:c r="E41" t="n">
        <x:v>0.6</x:v>
      </x:c>
      <x:c r="F41" t="n">
        <x:f>E41/100</x:f>
        <x:v>0.006</x:v>
      </x:c>
      <x:c r="G41" t="n">
        <x:f>G40*(1+F41)</x:f>
        <x:v>1182.120909765624</x:v>
      </x:c>
      <x:c r="H41" t="n">
        <x:f>G41/MAX($G$2:G41)-1</x:f>
        <x:v>-0.03285775599999996</x:v>
      </x:c>
    </x:row>
    <x:row r="42">
      <x:c r="A42" t="n">
        <x:v>41517</x:v>
      </x:c>
      <x:c r="B42" t="n">
        <x:v>2013</x:v>
      </x:c>
      <x:c r="C42" t="str">
        <x:v>Ago</x:v>
      </x:c>
      <x:c r="D42" t="n">
        <x:v>8</x:v>
      </x:c>
      <x:c r="E42" t="n">
        <x:v>-0.5</x:v>
      </x:c>
      <x:c r="F42" t="n">
        <x:f>E42/100</x:f>
        <x:v>-0.005</x:v>
      </x:c>
      <x:c r="G42" t="n">
        <x:f>G41*(1+F42)</x:f>
        <x:v>1176.2103052167959</x:v>
      </x:c>
      <x:c r="H42" t="n">
        <x:f>G42/MAX($G$2:G42)-1</x:f>
        <x:v>-0.03769346722</x:v>
      </x:c>
    </x:row>
    <x:row r="43">
      <x:c r="A43" t="n">
        <x:v>41547</x:v>
      </x:c>
      <x:c r="B43" t="n">
        <x:v>2013</x:v>
      </x:c>
      <x:c r="C43" t="str">
        <x:v>Set</x:v>
      </x:c>
      <x:c r="D43" t="n">
        <x:v>9</x:v>
      </x:c>
      <x:c r="E43" t="n">
        <x:v>2</x:v>
      </x:c>
      <x:c r="F43" t="n">
        <x:f>E43/100</x:f>
        <x:v>0.02</x:v>
      </x:c>
      <x:c r="G43" t="n">
        <x:f>G42*(1+F43)</x:f>
        <x:v>1199.7345113211318</x:v>
      </x:c>
      <x:c r="H43" t="n">
        <x:f>G43/MAX($G$2:G43)-1</x:f>
        <x:v>-0.018447336564400008</x:v>
      </x:c>
    </x:row>
    <x:row r="44">
      <x:c r="A44" t="n">
        <x:v>41578</x:v>
      </x:c>
      <x:c r="B44" t="n">
        <x:v>2013</x:v>
      </x:c>
      <x:c r="C44" t="str">
        <x:v>Ott</x:v>
      </x:c>
      <x:c r="D44" t="n">
        <x:v>10</x:v>
      </x:c>
      <x:c r="E44" t="n">
        <x:v>1.9</x:v>
      </x:c>
      <x:c r="F44" t="n">
        <x:f>E44/100</x:f>
        <x:v>0.019</x:v>
      </x:c>
      <x:c r="G44" t="n">
        <x:f>G43*(1+F44)</x:f>
        <x:v>1222.5294670362332</x:v>
      </x:c>
      <x:c r="H44" t="n">
        <x:f>G44/MAX($G$2:G44)-1</x:f>
        <x:v>0</x:v>
      </x:c>
    </x:row>
    <x:row r="45">
      <x:c r="A45" t="n">
        <x:v>41608</x:v>
      </x:c>
      <x:c r="B45" t="n">
        <x:v>2013</x:v>
      </x:c>
      <x:c r="C45" t="str">
        <x:v>Nov</x:v>
      </x:c>
      <x:c r="D45" t="n">
        <x:v>11</x:v>
      </x:c>
      <x:c r="E45" t="n">
        <x:v>1.6</x:v>
      </x:c>
      <x:c r="F45" t="n">
        <x:f>E45/100</x:f>
        <x:v>0.016</x:v>
      </x:c>
      <x:c r="G45" t="n">
        <x:f>G44*(1+F45)</x:f>
        <x:v>1242.089938508813</x:v>
      </x:c>
      <x:c r="H45" t="n">
        <x:f>G45/MAX($G$2:G45)-1</x:f>
        <x:v>0</x:v>
      </x:c>
    </x:row>
    <x:row r="46">
      <x:c r="A46" t="n">
        <x:v>41639</x:v>
      </x:c>
      <x:c r="B46" t="n">
        <x:v>2013</x:v>
      </x:c>
      <x:c r="C46" t="str">
        <x:v>Dic</x:v>
      </x:c>
      <x:c r="D46" t="n">
        <x:v>12</x:v>
      </x:c>
      <x:c r="E46" t="n">
        <x:v>-0.1</x:v>
      </x:c>
      <x:c r="F46" t="n">
        <x:f>E46/100</x:f>
        <x:v>-0.001</x:v>
      </x:c>
      <x:c r="G46" t="n">
        <x:f>G45*(1+F46)</x:f>
        <x:v>1240.8478485703042</x:v>
      </x:c>
      <x:c r="H46" t="n">
        <x:f>G46/MAX($G$2:G46)-1</x:f>
        <x:v>-0.0010000000000000009</x:v>
      </x:c>
    </x:row>
    <x:row r="47">
      <x:c r="A47" t="n">
        <x:v>41670</x:v>
      </x:c>
      <x:c r="B47" t="n">
        <x:v>2014</x:v>
      </x:c>
      <x:c r="C47" t="str">
        <x:v>Gen</x:v>
      </x:c>
      <x:c r="D47" t="n">
        <x:v>1</x:v>
      </x:c>
      <x:c r="E47" t="n">
        <x:v>0.1</x:v>
      </x:c>
      <x:c r="F47" t="n">
        <x:f>E47/100</x:f>
        <x:v>0.001</x:v>
      </x:c>
      <x:c r="G47" t="n">
        <x:f>G46*(1+F47)</x:f>
        <x:v>1242.0886964188744</x:v>
      </x:c>
      <x:c r="H47" t="n">
        <x:f>G47/MAX($G$2:G47)-1</x:f>
        <x:v>-0.000001000000000139778</x:v>
      </x:c>
    </x:row>
    <x:row r="48">
      <x:c r="A48" t="n">
        <x:v>41698</x:v>
      </x:c>
      <x:c r="B48" t="n">
        <x:v>2014</x:v>
      </x:c>
      <x:c r="C48" t="str">
        <x:v>Feb</x:v>
      </x:c>
      <x:c r="D48" t="n">
        <x:v>2</x:v>
      </x:c>
      <x:c r="E48" t="n">
        <x:v>1.9</x:v>
      </x:c>
      <x:c r="F48" t="n">
        <x:f>E48/100</x:f>
        <x:v>0.019</x:v>
      </x:c>
      <x:c r="G48" t="n">
        <x:f>G47*(1+F48)</x:f>
        <x:v>1265.688381650833</x:v>
      </x:c>
      <x:c r="H48" t="n">
        <x:f>G48/MAX($G$2:G48)-1</x:f>
        <x:v>0</x:v>
      </x:c>
    </x:row>
    <x:row r="49">
      <x:c r="A49" t="n">
        <x:v>41729</x:v>
      </x:c>
      <x:c r="B49" t="n">
        <x:v>2014</x:v>
      </x:c>
      <x:c r="C49" t="str">
        <x:v>Mar</x:v>
      </x:c>
      <x:c r="D49" t="n">
        <x:v>3</x:v>
      </x:c>
      <x:c r="E49" t="n">
        <x:v>0</x:v>
      </x:c>
      <x:c r="F49" t="n">
        <x:f>E49/100</x:f>
        <x:v>0</x:v>
      </x:c>
      <x:c r="G49" t="n">
        <x:f>G48*(1+F49)</x:f>
        <x:v>1265.688381650833</x:v>
      </x:c>
      <x:c r="H49" t="n">
        <x:f>G49/MAX($G$2:G49)-1</x:f>
        <x:v>0</x:v>
      </x:c>
    </x:row>
    <x:row r="50">
      <x:c r="A50" t="n">
        <x:v>41759</x:v>
      </x:c>
      <x:c r="B50" t="n">
        <x:v>2014</x:v>
      </x:c>
      <x:c r="C50" t="str">
        <x:v>Apr</x:v>
      </x:c>
      <x:c r="D50" t="n">
        <x:v>4</x:v>
      </x:c>
      <x:c r="E50" t="n">
        <x:v>0.3</x:v>
      </x:c>
      <x:c r="F50" t="n">
        <x:f>E50/100</x:f>
        <x:v>0.003</x:v>
      </x:c>
      <x:c r="G50" t="n">
        <x:f>G49*(1+F50)</x:f>
        <x:v>1269.4854467957853</x:v>
      </x:c>
      <x:c r="H50" t="n">
        <x:f>G50/MAX($G$2:G50)-1</x:f>
        <x:v>0</x:v>
      </x:c>
    </x:row>
    <x:row r="51">
      <x:c r="A51" t="n">
        <x:v>41790</x:v>
      </x:c>
      <x:c r="B51" t="n">
        <x:v>2014</x:v>
      </x:c>
      <x:c r="C51" t="str">
        <x:v>Mag</x:v>
      </x:c>
      <x:c r="D51" t="n">
        <x:v>5</x:v>
      </x:c>
      <x:c r="E51" t="n">
        <x:v>1.7</x:v>
      </x:c>
      <x:c r="F51" t="n">
        <x:f>E51/100</x:f>
        <x:v>0.017</x:v>
      </x:c>
      <x:c r="G51" t="n">
        <x:f>G50*(1+F51)</x:f>
        <x:v>1291.0666993913135</x:v>
      </x:c>
      <x:c r="H51" t="n">
        <x:f>G51/MAX($G$2:G51)-1</x:f>
        <x:v>0</x:v>
      </x:c>
    </x:row>
    <x:row r="52">
      <x:c r="A52" t="n">
        <x:v>41820</x:v>
      </x:c>
      <x:c r="B52" t="n">
        <x:v>2014</x:v>
      </x:c>
      <x:c r="C52" t="str">
        <x:v>Giu</x:v>
      </x:c>
      <x:c r="D52" t="n">
        <x:v>6</x:v>
      </x:c>
      <x:c r="E52" t="n">
        <x:v>1</x:v>
      </x:c>
      <x:c r="F52" t="n">
        <x:f>E52/100</x:f>
        <x:v>0.01</x:v>
      </x:c>
      <x:c r="G52" t="n">
        <x:f>G51*(1+F52)</x:f>
        <x:v>1303.9773663852266</x:v>
      </x:c>
      <x:c r="H52" t="n">
        <x:f>G52/MAX($G$2:G52)-1</x:f>
        <x:v>0</x:v>
      </x:c>
    </x:row>
    <x:row r="53">
      <x:c r="A53" t="n">
        <x:v>41851</x:v>
      </x:c>
      <x:c r="B53" t="n">
        <x:v>2014</x:v>
      </x:c>
      <x:c r="C53" t="str">
        <x:v>Lug</x:v>
      </x:c>
      <x:c r="D53" t="n">
        <x:v>7</x:v>
      </x:c>
      <x:c r="E53" t="n">
        <x:v>0.5</x:v>
      </x:c>
      <x:c r="F53" t="n">
        <x:f>E53/100</x:f>
        <x:v>0.005</x:v>
      </x:c>
      <x:c r="G53" t="n">
        <x:f>G52*(1+F53)</x:f>
        <x:v>1310.4972532171525</x:v>
      </x:c>
      <x:c r="H53" t="n">
        <x:f>G53/MAX($G$2:G53)-1</x:f>
        <x:v>0</x:v>
      </x:c>
    </x:row>
    <x:row r="54">
      <x:c r="A54" t="n">
        <x:v>41882</x:v>
      </x:c>
      <x:c r="B54" t="n">
        <x:v>2014</x:v>
      </x:c>
      <x:c r="C54" t="str">
        <x:v>Ago</x:v>
      </x:c>
      <x:c r="D54" t="n">
        <x:v>8</x:v>
      </x:c>
      <x:c r="E54" t="n">
        <x:v>2.2</x:v>
      </x:c>
      <x:c r="F54" t="n">
        <x:f>E54/100</x:f>
        <x:v>0.022000000000000002</x:v>
      </x:c>
      <x:c r="G54" t="n">
        <x:f>G53*(1+F54)</x:f>
        <x:v>1339.32819278793</x:v>
      </x:c>
      <x:c r="H54" t="n">
        <x:f>G54/MAX($G$2:G54)-1</x:f>
        <x:v>0</x:v>
      </x:c>
    </x:row>
    <x:row r="55">
      <x:c r="A55" t="n">
        <x:v>41912</x:v>
      </x:c>
      <x:c r="B55" t="n">
        <x:v>2014</x:v>
      </x:c>
      <x:c r="C55" t="str">
        <x:v>Set</x:v>
      </x:c>
      <x:c r="D55" t="n">
        <x:v>9</x:v>
      </x:c>
      <x:c r="E55" t="n">
        <x:v>-0.3</x:v>
      </x:c>
      <x:c r="F55" t="n">
        <x:f>E55/100</x:f>
        <x:v>-0.003</x:v>
      </x:c>
      <x:c r="G55" t="n">
        <x:f>G54*(1+F55)</x:f>
        <x:v>1335.310208209566</x:v>
      </x:c>
      <x:c r="H55" t="n">
        <x:f>G55/MAX($G$2:G55)-1</x:f>
        <x:v>-0.0030000000000001137</x:v>
      </x:c>
    </x:row>
    <x:row r="56">
      <x:c r="A56" t="n">
        <x:v>41943</x:v>
      </x:c>
      <x:c r="B56" t="n">
        <x:v>2014</x:v>
      </x:c>
      <x:c r="C56" t="str">
        <x:v>Ott</x:v>
      </x:c>
      <x:c r="D56" t="n">
        <x:v>10</x:v>
      </x:c>
      <x:c r="E56" t="n">
        <x:v>0.4</x:v>
      </x:c>
      <x:c r="F56" t="n">
        <x:f>E56/100</x:f>
        <x:v>0.004</x:v>
      </x:c>
      <x:c r="G56" t="n">
        <x:f>G55*(1+F56)</x:f>
        <x:v>1340.6514490424045</x:v>
      </x:c>
      <x:c r="H56" t="n">
        <x:f>G56/MAX($G$2:G56)-1</x:f>
        <x:v>0</x:v>
      </x:c>
    </x:row>
    <x:row r="57">
      <x:c r="A57" t="n">
        <x:v>41973</x:v>
      </x:c>
      <x:c r="B57" t="n">
        <x:v>2014</x:v>
      </x:c>
      <x:c r="C57" t="str">
        <x:v>Nov</x:v>
      </x:c>
      <x:c r="D57" t="n">
        <x:v>11</x:v>
      </x:c>
      <x:c r="E57" t="n">
        <x:v>2.1</x:v>
      </x:c>
      <x:c r="F57" t="n">
        <x:f>E57/100</x:f>
        <x:v>0.021</x:v>
      </x:c>
      <x:c r="G57" t="n">
        <x:f>G56*(1+F57)</x:f>
        <x:v>1368.8051294722948</x:v>
      </x:c>
      <x:c r="H57" t="n">
        <x:f>G57/MAX($G$2:G57)-1</x:f>
        <x:v>0</x:v>
      </x:c>
    </x:row>
    <x:row r="58">
      <x:c r="A58" t="n">
        <x:v>42004</x:v>
      </x:c>
      <x:c r="B58" t="n">
        <x:v>2014</x:v>
      </x:c>
      <x:c r="C58" t="str">
        <x:v>Dic</x:v>
      </x:c>
      <x:c r="D58" t="n">
        <x:v>12</x:v>
      </x:c>
      <x:c r="E58" t="n">
        <x:v>0.3</x:v>
      </x:c>
      <x:c r="F58" t="n">
        <x:f>E58/100</x:f>
        <x:v>0.003</x:v>
      </x:c>
      <x:c r="G58" t="n">
        <x:f>G57*(1+F58)</x:f>
        <x:v>1372.9115448607115</x:v>
      </x:c>
      <x:c r="H58" t="n">
        <x:f>G58/MAX($G$2:G58)-1</x:f>
        <x:v>0</x:v>
      </x:c>
    </x:row>
    <x:row r="59">
      <x:c r="A59" t="n">
        <x:v>42035</x:v>
      </x:c>
      <x:c r="B59" t="n">
        <x:v>2015</x:v>
      </x:c>
      <x:c r="C59" t="str">
        <x:v>Gen</x:v>
      </x:c>
      <x:c r="D59" t="n">
        <x:v>1</x:v>
      </x:c>
      <x:c r="E59" t="n">
        <x:v>2.4</x:v>
      </x:c>
      <x:c r="F59" t="n">
        <x:f>E59/100</x:f>
        <x:v>0.024</x:v>
      </x:c>
      <x:c r="G59" t="n">
        <x:f>G58*(1+F59)</x:f>
        <x:v>1405.8614219373685</x:v>
      </x:c>
      <x:c r="H59" t="n">
        <x:f>G59/MAX($G$2:G59)-1</x:f>
        <x:v>0</x:v>
      </x:c>
    </x:row>
    <x:row r="60">
      <x:c r="A60" t="n">
        <x:v>42063</x:v>
      </x:c>
      <x:c r="B60" t="n">
        <x:v>2015</x:v>
      </x:c>
      <x:c r="C60" t="str">
        <x:v>Feb</x:v>
      </x:c>
      <x:c r="D60" t="n">
        <x:v>2</x:v>
      </x:c>
      <x:c r="E60" t="n">
        <x:v>1.4</x:v>
      </x:c>
      <x:c r="F60" t="n">
        <x:f>E60/100</x:f>
        <x:v>0.013999999999999999</x:v>
      </x:c>
      <x:c r="G60" t="n">
        <x:f>G59*(1+F60)</x:f>
        <x:v>1425.5434818444917</x:v>
      </x:c>
      <x:c r="H60" t="n">
        <x:f>G60/MAX($G$2:G60)-1</x:f>
        <x:v>0</x:v>
      </x:c>
    </x:row>
    <x:row r="61">
      <x:c r="A61" t="n">
        <x:v>42094</x:v>
      </x:c>
      <x:c r="B61" t="n">
        <x:v>2015</x:v>
      </x:c>
      <x:c r="C61" t="str">
        <x:v>Mar</x:v>
      </x:c>
      <x:c r="D61" t="n">
        <x:v>3</x:v>
      </x:c>
      <x:c r="E61" t="n">
        <x:v>1.2</x:v>
      </x:c>
      <x:c r="F61" t="n">
        <x:f>E61/100</x:f>
        <x:v>0.012</x:v>
      </x:c>
      <x:c r="G61" t="n">
        <x:f>G60*(1+F61)</x:f>
        <x:v>1442.6500036266257</x:v>
      </x:c>
      <x:c r="H61" t="n">
        <x:f>G61/MAX($G$2:G61)-1</x:f>
        <x:v>0</x:v>
      </x:c>
    </x:row>
    <x:row r="62">
      <x:c r="A62" t="n">
        <x:v>42124</x:v>
      </x:c>
      <x:c r="B62" t="n">
        <x:v>2015</x:v>
      </x:c>
      <x:c r="C62" t="str">
        <x:v>Apr</x:v>
      </x:c>
      <x:c r="D62" t="n">
        <x:v>4</x:v>
      </x:c>
      <x:c r="E62" t="n">
        <x:v>-1.5</x:v>
      </x:c>
      <x:c r="F62" t="n">
        <x:f>E62/100</x:f>
        <x:v>-0.015</x:v>
      </x:c>
      <x:c r="G62" t="n">
        <x:f>G61*(1+F62)</x:f>
        <x:v>1421.0102535722262</x:v>
      </x:c>
      <x:c r="H62" t="n">
        <x:f>G62/MAX($G$2:G62)-1</x:f>
        <x:v>-0.015000000000000013</x:v>
      </x:c>
    </x:row>
    <x:row r="63">
      <x:c r="A63" t="n">
        <x:v>42155</x:v>
      </x:c>
      <x:c r="B63" t="n">
        <x:v>2015</x:v>
      </x:c>
      <x:c r="C63" t="str">
        <x:v>Mag</x:v>
      </x:c>
      <x:c r="D63" t="n">
        <x:v>5</x:v>
      </x:c>
      <x:c r="E63" t="n">
        <x:v>-0.8</x:v>
      </x:c>
      <x:c r="F63" t="n">
        <x:f>E63/100</x:f>
        <x:v>-0.008</x:v>
      </x:c>
      <x:c r="G63" t="n">
        <x:f>G62*(1+F63)</x:f>
        <x:v>1409.6421715436484</x:v>
      </x:c>
      <x:c r="H63" t="n">
        <x:f>G63/MAX($G$2:G63)-1</x:f>
        <x:v>-0.022880000000000122</x:v>
      </x:c>
    </x:row>
    <x:row r="64">
      <x:c r="A64" t="n">
        <x:v>42185</x:v>
      </x:c>
      <x:c r="B64" t="n">
        <x:v>2015</x:v>
      </x:c>
      <x:c r="C64" t="str">
        <x:v>Giu</x:v>
      </x:c>
      <x:c r="D64" t="n">
        <x:v>6</x:v>
      </x:c>
      <x:c r="E64" t="n">
        <x:v>-3.1</x:v>
      </x:c>
      <x:c r="F64" t="n">
        <x:f>E64/100</x:f>
        <x:v>-0.031</x:v>
      </x:c>
      <x:c r="G64" t="n">
        <x:f>G63*(1+F64)</x:f>
        <x:v>1365.9432642257952</x:v>
      </x:c>
      <x:c r="H64" t="n">
        <x:f>G64/MAX($G$2:G64)-1</x:f>
        <x:v>-0.053170720000000116</x:v>
      </x:c>
    </x:row>
    <x:row r="65">
      <x:c r="A65" t="n">
        <x:v>42216</x:v>
      </x:c>
      <x:c r="B65" t="n">
        <x:v>2015</x:v>
      </x:c>
      <x:c r="C65" t="str">
        <x:v>Lug</x:v>
      </x:c>
      <x:c r="D65" t="n">
        <x:v>7</x:v>
      </x:c>
      <x:c r="E65" t="n">
        <x:v>1.3</x:v>
      </x:c>
      <x:c r="F65" t="n">
        <x:f>E65/100</x:f>
        <x:v>0.013000000000000001</x:v>
      </x:c>
      <x:c r="G65" t="n">
        <x:f>G64*(1+F65)</x:f>
        <x:v>1383.7005266607305</x:v>
      </x:c>
      <x:c r="H65" t="n">
        <x:f>G65/MAX($G$2:G65)-1</x:f>
        <x:v>-0.040861939360000155</x:v>
      </x:c>
    </x:row>
    <x:row r="66">
      <x:c r="A66" t="n">
        <x:v>42247</x:v>
      </x:c>
      <x:c r="B66" t="n">
        <x:v>2015</x:v>
      </x:c>
      <x:c r="C66" t="str">
        <x:v>Ago</x:v>
      </x:c>
      <x:c r="D66" t="n">
        <x:v>8</x:v>
      </x:c>
      <x:c r="E66" t="n">
        <x:v>-3.6</x:v>
      </x:c>
      <x:c r="F66" t="n">
        <x:f>E66/100</x:f>
        <x:v>-0.036000000000000004</x:v>
      </x:c>
      <x:c r="G66" t="n">
        <x:f>G65*(1+F66)</x:f>
        <x:v>1333.8873077009441</x:v>
      </x:c>
      <x:c r="H66" t="n">
        <x:f>G66/MAX($G$2:G66)-1</x:f>
        <x:v>-0.07539090954304017</x:v>
      </x:c>
    </x:row>
    <x:row r="67">
      <x:c r="A67" t="n">
        <x:v>42277</x:v>
      </x:c>
      <x:c r="B67" t="n">
        <x:v>2015</x:v>
      </x:c>
      <x:c r="C67" t="str">
        <x:v>Set</x:v>
      </x:c>
      <x:c r="D67" t="n">
        <x:v>9</x:v>
      </x:c>
      <x:c r="E67" t="n">
        <x:v>-0.8</x:v>
      </x:c>
      <x:c r="F67" t="n">
        <x:f>E67/100</x:f>
        <x:v>-0.008</x:v>
      </x:c>
      <x:c r="G67" t="n">
        <x:f>G66*(1+F67)</x:f>
        <x:v>1323.2162092393366</x:v>
      </x:c>
      <x:c r="H67" t="n">
        <x:f>G67/MAX($G$2:G67)-1</x:f>
        <x:v>-0.08278778226669581</x:v>
      </x:c>
    </x:row>
    <x:row r="68">
      <x:c r="A68" t="n">
        <x:v>42308</x:v>
      </x:c>
      <x:c r="B68" t="n">
        <x:v>2015</x:v>
      </x:c>
      <x:c r="C68" t="str">
        <x:v>Ott</x:v>
      </x:c>
      <x:c r="D68" t="n">
        <x:v>10</x:v>
      </x:c>
      <x:c r="E68" t="n">
        <x:v>1.9</x:v>
      </x:c>
      <x:c r="F68" t="n">
        <x:f>E68/100</x:f>
        <x:v>0.019</x:v>
      </x:c>
      <x:c r="G68" t="n">
        <x:f>G67*(1+F68)</x:f>
        <x:v>1348.357317214884</x:v>
      </x:c>
      <x:c r="H68" t="n">
        <x:f>G68/MAX($G$2:G68)-1</x:f>
        <x:v>-0.06536075012976306</x:v>
      </x:c>
    </x:row>
    <x:row r="69">
      <x:c r="A69" t="n">
        <x:v>42338</x:v>
      </x:c>
      <x:c r="B69" t="n">
        <x:v>2015</x:v>
      </x:c>
      <x:c r="C69" t="str">
        <x:v>Nov</x:v>
      </x:c>
      <x:c r="D69" t="n">
        <x:v>11</x:v>
      </x:c>
      <x:c r="E69" t="n">
        <x:v>0.4</x:v>
      </x:c>
      <x:c r="F69" t="n">
        <x:f>E69/100</x:f>
        <x:v>0.004</x:v>
      </x:c>
      <x:c r="G69" t="n">
        <x:f>G68*(1+F69)</x:f>
        <x:v>1353.7507464837436</x:v>
      </x:c>
      <x:c r="H69" t="n">
        <x:f>G69/MAX($G$2:G69)-1</x:f>
        <x:v>-0.061622193130282055</x:v>
      </x:c>
    </x:row>
    <x:row r="70">
      <x:c r="A70" t="n">
        <x:v>42369</x:v>
      </x:c>
      <x:c r="B70" t="n">
        <x:v>2015</x:v>
      </x:c>
      <x:c r="C70" t="str">
        <x:v>Dic</x:v>
      </x:c>
      <x:c r="D70" t="n">
        <x:v>12</x:v>
      </x:c>
      <x:c r="E70" t="n">
        <x:v>-1.2</x:v>
      </x:c>
      <x:c r="F70" t="n">
        <x:f>E70/100</x:f>
        <x:v>-0.012</x:v>
      </x:c>
      <x:c r="G70" t="n">
        <x:f>G69*(1+F70)</x:f>
        <x:v>1337.5057375259387</x:v>
      </x:c>
      <x:c r="H70" t="n">
        <x:f>G70/MAX($G$2:G70)-1</x:f>
        <x:v>-0.07288272681271868</x:v>
      </x:c>
    </x:row>
    <x:row r="71">
      <x:c r="A71" t="n">
        <x:v>42400</x:v>
      </x:c>
      <x:c r="B71" t="n">
        <x:v>2016</x:v>
      </x:c>
      <x:c r="C71" t="str">
        <x:v>Gen</x:v>
      </x:c>
      <x:c r="D71" t="n">
        <x:v>1</x:v>
      </x:c>
      <x:c r="E71" t="n">
        <x:v>0.6</x:v>
      </x:c>
      <x:c r="F71" t="n">
        <x:f>E71/100</x:f>
        <x:v>0.006</x:v>
      </x:c>
      <x:c r="G71" t="n">
        <x:f>G70*(1+F71)</x:f>
        <x:v>1345.5307719510943</x:v>
      </x:c>
      <x:c r="H71" t="n">
        <x:f>G71/MAX($G$2:G71)-1</x:f>
        <x:v>-0.06732002317359509</x:v>
      </x:c>
    </x:row>
    <x:row r="72">
      <x:c r="A72" t="n">
        <x:v>42429</x:v>
      </x:c>
      <x:c r="B72" t="n">
        <x:v>2016</x:v>
      </x:c>
      <x:c r="C72" t="str">
        <x:v>Feb</x:v>
      </x:c>
      <x:c r="D72" t="n">
        <x:v>2</x:v>
      </x:c>
      <x:c r="E72" t="n">
        <x:v>0.6</x:v>
      </x:c>
      <x:c r="F72" t="n">
        <x:f>E72/100</x:f>
        <x:v>0.006</x:v>
      </x:c>
      <x:c r="G72" t="n">
        <x:f>G71*(1+F72)</x:f>
        <x:v>1353.603956582801</x:v>
      </x:c>
      <x:c r="H72" t="n">
        <x:f>G72/MAX($G$2:G72)-1</x:f>
        <x:v>-0.06172394331263653</x:v>
      </x:c>
    </x:row>
    <x:row r="73">
      <x:c r="A73" t="n">
        <x:v>42460</x:v>
      </x:c>
      <x:c r="B73" t="n">
        <x:v>2016</x:v>
      </x:c>
      <x:c r="C73" t="str">
        <x:v>Mar</x:v>
      </x:c>
      <x:c r="D73" t="n">
        <x:v>3</x:v>
      </x:c>
      <x:c r="E73" t="n">
        <x:v>0.2</x:v>
      </x:c>
      <x:c r="F73" t="n">
        <x:f>E73/100</x:f>
        <x:v>0.002</x:v>
      </x:c>
      <x:c r="G73" t="n">
        <x:f>G72*(1+F73)</x:f>
        <x:v>1356.3111644959665</x:v>
      </x:c>
      <x:c r="H73" t="n">
        <x:f>G73/MAX($G$2:G73)-1</x:f>
        <x:v>-0.05984739119926186</x:v>
      </x:c>
    </x:row>
    <x:row r="74">
      <x:c r="A74" t="n">
        <x:v>42490</x:v>
      </x:c>
      <x:c r="B74" t="n">
        <x:v>2016</x:v>
      </x:c>
      <x:c r="C74" t="str">
        <x:v>Apr</x:v>
      </x:c>
      <x:c r="D74" t="n">
        <x:v>4</x:v>
      </x:c>
      <x:c r="E74" t="n">
        <x:v>-0.2</x:v>
      </x:c>
      <x:c r="F74" t="n">
        <x:f>E74/100</x:f>
        <x:v>-0.002</x:v>
      </x:c>
      <x:c r="G74" t="n">
        <x:f>G73*(1+F74)</x:f>
        <x:v>1353.5985421669745</x:v>
      </x:c>
      <x:c r="H74" t="n">
        <x:f>G74/MAX($G$2:G74)-1</x:f>
        <x:v>-0.061727696416863376</x:v>
      </x:c>
    </x:row>
    <x:row r="75">
      <x:c r="A75" t="n">
        <x:v>42521</x:v>
      </x:c>
      <x:c r="B75" t="n">
        <x:v>2016</x:v>
      </x:c>
      <x:c r="C75" t="str">
        <x:v>Mag</x:v>
      </x:c>
      <x:c r="D75" t="n">
        <x:v>5</x:v>
      </x:c>
      <x:c r="E75" t="n">
        <x:v>-0.2</x:v>
      </x:c>
      <x:c r="F75" t="n">
        <x:f>E75/100</x:f>
        <x:v>-0.002</x:v>
      </x:c>
      <x:c r="G75" t="n">
        <x:f>G74*(1+F75)</x:f>
        <x:v>1350.8913450826406</x:v>
      </x:c>
      <x:c r="H75" t="n">
        <x:f>G75/MAX($G$2:G75)-1</x:f>
        <x:v>-0.06360424102402962</x:v>
      </x:c>
    </x:row>
    <x:row r="76">
      <x:c r="A76" t="n">
        <x:v>42551</x:v>
      </x:c>
      <x:c r="B76" t="n">
        <x:v>2016</x:v>
      </x:c>
      <x:c r="C76" t="str">
        <x:v>Giu</x:v>
      </x:c>
      <x:c r="D76" t="n">
        <x:v>6</x:v>
      </x:c>
      <x:c r="E76" t="n">
        <x:v>2.3</x:v>
      </x:c>
      <x:c r="F76" t="n">
        <x:f>E76/100</x:f>
        <x:v>0.023</x:v>
      </x:c>
      <x:c r="G76" t="n">
        <x:f>G75*(1+F76)</x:f>
        <x:v>1381.961846019541</x:v>
      </x:c>
      <x:c r="H76" t="n">
        <x:f>G76/MAX($G$2:G76)-1</x:f>
        <x:v>-0.042067138567582485</x:v>
      </x:c>
    </x:row>
    <x:row r="77">
      <x:c r="A77" t="n">
        <x:v>42582</x:v>
      </x:c>
      <x:c r="B77" t="n">
        <x:v>2016</x:v>
      </x:c>
      <x:c r="C77" t="str">
        <x:v>Lug</x:v>
      </x:c>
      <x:c r="D77" t="n">
        <x:v>7</x:v>
      </x:c>
      <x:c r="E77" t="n">
        <x:v>0.9</x:v>
      </x:c>
      <x:c r="F77" t="n">
        <x:f>E77/100</x:f>
        <x:v>0.009000000000000001</x:v>
      </x:c>
      <x:c r="G77" t="n">
        <x:f>G76*(1+F77)</x:f>
        <x:v>1394.3995026337168</x:v>
      </x:c>
      <x:c r="H77" t="n">
        <x:f>G77/MAX($G$2:G77)-1</x:f>
        <x:v>-0.033445742814690815</x:v>
      </x:c>
    </x:row>
    <x:row r="78">
      <x:c r="A78" t="n">
        <x:v>42613</x:v>
      </x:c>
      <x:c r="B78" t="n">
        <x:v>2016</x:v>
      </x:c>
      <x:c r="C78" t="str">
        <x:v>Ago</x:v>
      </x:c>
      <x:c r="D78" t="n">
        <x:v>8</x:v>
      </x:c>
      <x:c r="E78" t="n">
        <x:v>-0.4</x:v>
      </x:c>
      <x:c r="F78" t="n">
        <x:f>E78/100</x:f>
        <x:v>-0.004</x:v>
      </x:c>
      <x:c r="G78" t="n">
        <x:f>G77*(1+F78)</x:f>
        <x:v>1388.8219046231818</x:v>
      </x:c>
      <x:c r="H78" t="n">
        <x:f>G78/MAX($G$2:G78)-1</x:f>
        <x:v>-0.03731195984343216</x:v>
      </x:c>
    </x:row>
    <x:row r="79">
      <x:c r="A79" t="n">
        <x:v>42643</x:v>
      </x:c>
      <x:c r="B79" t="n">
        <x:v>2016</x:v>
      </x:c>
      <x:c r="C79" t="str">
        <x:v>Set</x:v>
      </x:c>
      <x:c r="D79" t="n">
        <x:v>9</x:v>
      </x:c>
      <x:c r="E79" t="n">
        <x:v>0.3</x:v>
      </x:c>
      <x:c r="F79" t="n">
        <x:f>E79/100</x:f>
        <x:v>0.003</x:v>
      </x:c>
      <x:c r="G79" t="n">
        <x:f>G78*(1+F79)</x:f>
        <x:v>1392.9883703370513</x:v>
      </x:c>
      <x:c r="H79" t="n">
        <x:f>G79/MAX($G$2:G79)-1</x:f>
        <x:v>-0.03442389572296245</x:v>
      </x:c>
    </x:row>
    <x:row r="80">
      <x:c r="A80" t="n">
        <x:v>42674</x:v>
      </x:c>
      <x:c r="B80" t="n">
        <x:v>2016</x:v>
      </x:c>
      <x:c r="C80" t="str">
        <x:v>Ott</x:v>
      </x:c>
      <x:c r="D80" t="n">
        <x:v>10</x:v>
      </x:c>
      <x:c r="E80" t="n">
        <x:v>-1.1</x:v>
      </x:c>
      <x:c r="F80" t="n">
        <x:f>E80/100</x:f>
        <x:v>-0.011000000000000001</x:v>
      </x:c>
      <x:c r="G80" t="n">
        <x:f>G79*(1+F80)</x:f>
        <x:v>1377.6654982633436</x:v>
      </x:c>
      <x:c r="H80" t="n">
        <x:f>G80/MAX($G$2:G80)-1</x:f>
        <x:v>-0.045045232870009944</x:v>
      </x:c>
    </x:row>
    <x:row r="81">
      <x:c r="A81" t="n">
        <x:v>42704</x:v>
      </x:c>
      <x:c r="B81" t="n">
        <x:v>2016</x:v>
      </x:c>
      <x:c r="C81" t="str">
        <x:v>Nov</x:v>
      </x:c>
      <x:c r="D81" t="n">
        <x:v>11</x:v>
      </x:c>
      <x:c r="E81" t="n">
        <x:v>-3</x:v>
      </x:c>
      <x:c r="F81" t="n">
        <x:f>E81/100</x:f>
        <x:v>-0.03</x:v>
      </x:c>
      <x:c r="G81" t="n">
        <x:f>G80*(1+F81)</x:f>
        <x:v>1336.3355333154432</x:v>
      </x:c>
      <x:c r="H81" t="n">
        <x:f>G81/MAX($G$2:G81)-1</x:f>
        <x:v>-0.07369387588390974</x:v>
      </x:c>
    </x:row>
    <x:row r="82">
      <x:c r="A82" t="n">
        <x:v>42735</x:v>
      </x:c>
      <x:c r="B82" t="n">
        <x:v>2016</x:v>
      </x:c>
      <x:c r="C82" t="str">
        <x:v>Dic</x:v>
      </x:c>
      <x:c r="D82" t="n">
        <x:v>12</x:v>
      </x:c>
      <x:c r="E82" t="n">
        <x:v>0.3</x:v>
      </x:c>
      <x:c r="F82" t="n">
        <x:f>E82/100</x:f>
        <x:v>0.003</x:v>
      </x:c>
      <x:c r="G82" t="n">
        <x:f>G81*(1+F82)</x:f>
        <x:v>1340.3445399153893</x:v>
      </x:c>
      <x:c r="H82" t="n">
        <x:f>G82/MAX($G$2:G82)-1</x:f>
        <x:v>-0.07091495751156163</x:v>
      </x:c>
    </x:row>
    <x:row r="83">
      <x:c r="A83" t="n">
        <x:v>42766</x:v>
      </x:c>
      <x:c r="B83" t="n">
        <x:v>2017</x:v>
      </x:c>
      <x:c r="C83" t="str">
        <x:v>Gen</x:v>
      </x:c>
      <x:c r="D83" t="n">
        <x:v>1</x:v>
      </x:c>
      <x:c r="E83" t="n">
        <x:v>1.2</x:v>
      </x:c>
      <x:c r="F83" t="n">
        <x:f>E83/100</x:f>
        <x:v>0.012</x:v>
      </x:c>
      <x:c r="G83" t="n">
        <x:f>G82*(1+F83)</x:f>
        <x:v>1356.428674394374</x:v>
      </x:c>
      <x:c r="H83" t="n">
        <x:f>G83/MAX($G$2:G83)-1</x:f>
        <x:v>-0.05976593700170041</x:v>
      </x:c>
    </x:row>
    <x:row r="84">
      <x:c r="A84" t="n">
        <x:v>42794</x:v>
      </x:c>
      <x:c r="B84" t="n">
        <x:v>2017</x:v>
      </x:c>
      <x:c r="C84" t="str">
        <x:v>Feb</x:v>
      </x:c>
      <x:c r="D84" t="n">
        <x:v>2</x:v>
      </x:c>
      <x:c r="E84" t="n">
        <x:v>1.8</x:v>
      </x:c>
      <x:c r="F84" t="n">
        <x:f>E84/100</x:f>
        <x:v>0.018000000000000002</x:v>
      </x:c>
      <x:c r="G84" t="n">
        <x:f>G83*(1+F84)</x:f>
        <x:v>1380.8443905334727</x:v>
      </x:c>
      <x:c r="H84" t="n">
        <x:f>G84/MAX($G$2:G84)-1</x:f>
        <x:v>-0.042841723867730996</x:v>
      </x:c>
    </x:row>
    <x:row r="85">
      <x:c r="A85" t="n">
        <x:v>42825</x:v>
      </x:c>
      <x:c r="B85" t="n">
        <x:v>2017</x:v>
      </x:c>
      <x:c r="C85" t="str">
        <x:v>Mar</x:v>
      </x:c>
      <x:c r="D85" t="n">
        <x:v>3</x:v>
      </x:c>
      <x:c r="E85" t="n">
        <x:v>-0.4</x:v>
      </x:c>
      <x:c r="F85" t="n">
        <x:f>E85/100</x:f>
        <x:v>-0.004</x:v>
      </x:c>
      <x:c r="G85" t="n">
        <x:f>G84*(1+F85)</x:f>
        <x:v>1375.3210129713389</x:v>
      </x:c>
      <x:c r="H85" t="n">
        <x:f>G85/MAX($G$2:G85)-1</x:f>
        <x:v>-0.04667035697225996</x:v>
      </x:c>
    </x:row>
    <x:row r="86">
      <x:c r="A86" t="n">
        <x:v>42855</x:v>
      </x:c>
      <x:c r="B86" t="n">
        <x:v>2017</x:v>
      </x:c>
      <x:c r="C86" t="str">
        <x:v>Apr</x:v>
      </x:c>
      <x:c r="D86" t="n">
        <x:v>4</x:v>
      </x:c>
      <x:c r="E86" t="n">
        <x:v>0.4</x:v>
      </x:c>
      <x:c r="F86" t="n">
        <x:f>E86/100</x:f>
        <x:v>0.004</x:v>
      </x:c>
      <x:c r="G86" t="n">
        <x:f>G85*(1+F86)</x:f>
        <x:v>1380.822297023224</x:v>
      </x:c>
      <x:c r="H86" t="n">
        <x:f>G86/MAX($G$2:G86)-1</x:f>
        <x:v>-0.042857038400149094</x:v>
      </x:c>
    </x:row>
    <x:row r="87">
      <x:c r="A87" t="n">
        <x:v>42886</x:v>
      </x:c>
      <x:c r="B87" t="n">
        <x:v>2017</x:v>
      </x:c>
      <x:c r="C87" t="str">
        <x:v>Mag</x:v>
      </x:c>
      <x:c r="D87" t="n">
        <x:v>5</x:v>
      </x:c>
      <x:c r="E87" t="n">
        <x:v>0.5</x:v>
      </x:c>
      <x:c r="F87" t="n">
        <x:f>E87/100</x:f>
        <x:v>0.005</x:v>
      </x:c>
      <x:c r="G87" t="n">
        <x:f>G86*(1+F87)</x:f>
        <x:v>1387.72640850834</x:v>
      </x:c>
      <x:c r="H87" t="n">
        <x:f>G87/MAX($G$2:G87)-1</x:f>
        <x:v>-0.03807132359215004</x:v>
      </x:c>
    </x:row>
    <x:row r="88">
      <x:c r="A88" t="n">
        <x:v>42916</x:v>
      </x:c>
      <x:c r="B88" t="n">
        <x:v>2017</x:v>
      </x:c>
      <x:c r="C88" t="str">
        <x:v>Giu</x:v>
      </x:c>
      <x:c r="D88" t="n">
        <x:v>6</x:v>
      </x:c>
      <x:c r="E88" t="n">
        <x:v>-1.3</x:v>
      </x:c>
      <x:c r="F88" t="n">
        <x:f>E88/100</x:f>
        <x:v>-0.013000000000000001</x:v>
      </x:c>
      <x:c r="G88" t="n">
        <x:f>G87*(1+F88)</x:f>
        <x:v>1369.6859651977315</x:v>
      </x:c>
      <x:c r="H88" t="n">
        <x:f>G88/MAX($G$2:G88)-1</x:f>
        <x:v>-0.05057639638545208</x:v>
      </x:c>
    </x:row>
    <x:row r="89">
      <x:c r="A89" t="n">
        <x:v>42947</x:v>
      </x:c>
      <x:c r="B89" t="n">
        <x:v>2017</x:v>
      </x:c>
      <x:c r="C89" t="str">
        <x:v>Lug</x:v>
      </x:c>
      <x:c r="D89" t="n">
        <x:v>7</x:v>
      </x:c>
      <x:c r="E89" t="n">
        <x:v>0.6</x:v>
      </x:c>
      <x:c r="F89" t="n">
        <x:f>E89/100</x:f>
        <x:v>0.006</x:v>
      </x:c>
      <x:c r="G89" t="n">
        <x:f>G88*(1+F89)</x:f>
        <x:v>1377.904080988918</x:v>
      </x:c>
      <x:c r="H89" t="n">
        <x:f>G89/MAX($G$2:G89)-1</x:f>
        <x:v>-0.04487985476376477</x:v>
      </x:c>
    </x:row>
    <x:row r="90">
      <x:c r="A90" t="n">
        <x:v>42978</x:v>
      </x:c>
      <x:c r="B90" t="n">
        <x:v>2017</x:v>
      </x:c>
      <x:c r="C90" t="str">
        <x:v>Ago</x:v>
      </x:c>
      <x:c r="D90" t="n">
        <x:v>8</x:v>
      </x:c>
      <x:c r="E90" t="n">
        <x:v>1.5</x:v>
      </x:c>
      <x:c r="F90" t="n">
        <x:f>E90/100</x:f>
        <x:v>0.015</x:v>
      </x:c>
      <x:c r="G90" t="n">
        <x:f>G89*(1+F90)</x:f>
        <x:v>1398.5726422037517</x:v>
      </x:c>
      <x:c r="H90" t="n">
        <x:f>G90/MAX($G$2:G90)-1</x:f>
        <x:v>-0.03055305258522134</x:v>
      </x:c>
    </x:row>
    <x:row r="91">
      <x:c r="A91" t="n">
        <x:v>43008</x:v>
      </x:c>
      <x:c r="B91" t="n">
        <x:v>2017</x:v>
      </x:c>
      <x:c r="C91" t="str">
        <x:v>Set</x:v>
      </x:c>
      <x:c r="D91" t="n">
        <x:v>9</x:v>
      </x:c>
      <x:c r="E91" t="n">
        <x:v>-0.9</x:v>
      </x:c>
      <x:c r="F91" t="n">
        <x:f>E91/100</x:f>
        <x:v>-0.009000000000000001</x:v>
      </x:c>
      <x:c r="G91" t="n">
        <x:f>G90*(1+F91)</x:f>
        <x:v>1385.985488423918</x:v>
      </x:c>
      <x:c r="H91" t="n">
        <x:f>G91/MAX($G$2:G91)-1</x:f>
        <x:v>-0.03927807511195425</x:v>
      </x:c>
    </x:row>
    <x:row r="92">
      <x:c r="A92" t="n">
        <x:v>43039</x:v>
      </x:c>
      <x:c r="B92" t="n">
        <x:v>2017</x:v>
      </x:c>
      <x:c r="C92" t="str">
        <x:v>Ott</x:v>
      </x:c>
      <x:c r="D92" t="n">
        <x:v>10</x:v>
      </x:c>
      <x:c r="E92" t="n">
        <x:v>1.8</x:v>
      </x:c>
      <x:c r="F92" t="n">
        <x:f>E92/100</x:f>
        <x:v>0.018000000000000002</x:v>
      </x:c>
      <x:c r="G92" t="n">
        <x:f>G91*(1+F92)</x:f>
        <x:v>1410.9332272155486</x:v>
      </x:c>
      <x:c r="H92" t="n">
        <x:f>G92/MAX($G$2:G92)-1</x:f>
        <x:v>-0.021985080463969298</x:v>
      </x:c>
    </x:row>
    <x:row r="93">
      <x:c r="A93" t="n">
        <x:v>43069</x:v>
      </x:c>
      <x:c r="B93" t="n">
        <x:v>2017</x:v>
      </x:c>
      <x:c r="C93" t="str">
        <x:v>Nov</x:v>
      </x:c>
      <x:c r="D93" t="n">
        <x:v>11</x:v>
      </x:c>
      <x:c r="E93" t="n">
        <x:v>0.7</x:v>
      </x:c>
      <x:c r="F93" t="n">
        <x:f>E93/100</x:f>
        <x:v>0.006999999999999999</x:v>
      </x:c>
      <x:c r="G93" t="n">
        <x:f>G92*(1+F93)</x:f>
        <x:v>1420.8097598060574</x:v>
      </x:c>
      <x:c r="H93" t="n">
        <x:f>G93/MAX($G$2:G93)-1</x:f>
        <x:v>-0.015138976027217144</x:v>
      </x:c>
    </x:row>
    <x:row r="94">
      <x:c r="A94" t="n">
        <x:v>43100</x:v>
      </x:c>
      <x:c r="B94" t="n">
        <x:v>2017</x:v>
      </x:c>
      <x:c r="C94" t="str">
        <x:v>Dic</x:v>
      </x:c>
      <x:c r="D94" t="n">
        <x:v>12</x:v>
      </x:c>
      <x:c r="E94" t="n">
        <x:v>0.4</x:v>
      </x:c>
      <x:c r="F94" t="n">
        <x:f>E94/100</x:f>
        <x:v>0.004</x:v>
      </x:c>
      <x:c r="G94" t="n">
        <x:f>G93*(1+F94)</x:f>
        <x:v>1426.4929988452816</x:v>
      </x:c>
      <x:c r="H94" t="n">
        <x:f>G94/MAX($G$2:G94)-1</x:f>
        <x:v>-0.011199531931326057</x:v>
      </x:c>
    </x:row>
    <x:row r="95">
      <x:c r="A95" t="n">
        <x:v>43131</x:v>
      </x:c>
      <x:c r="B95" t="n">
        <x:v>2018</x:v>
      </x:c>
      <x:c r="C95" t="str">
        <x:v>Gen</x:v>
      </x:c>
      <x:c r="D95" t="n">
        <x:v>1</x:v>
      </x:c>
      <x:c r="E95" t="n">
        <x:v>1.3</x:v>
      </x:c>
      <x:c r="F95" t="n">
        <x:f>E95/100</x:f>
        <x:v>0.013000000000000001</x:v>
      </x:c>
      <x:c r="G95" t="n">
        <x:f>G94*(1+F95)</x:f>
        <x:v>1445.03740783027</x:v>
      </x:c>
      <x:c r="H95" t="n">
        <x:f>G95/MAX($G$2:G95)-1</x:f>
        <x:v>0</x:v>
      </x:c>
    </x:row>
    <x:row r="96">
      <x:c r="A96" t="n">
        <x:v>43159</x:v>
      </x:c>
      <x:c r="B96" t="n">
        <x:v>2018</x:v>
      </x:c>
      <x:c r="C96" t="str">
        <x:v>Feb</x:v>
      </x:c>
      <x:c r="D96" t="n">
        <x:v>2</x:v>
      </x:c>
      <x:c r="E96" t="n">
        <x:v>-1.1</x:v>
      </x:c>
      <x:c r="F96" t="n">
        <x:f>E96/100</x:f>
        <x:v>-0.011000000000000001</x:v>
      </x:c>
      <x:c r="G96" t="n">
        <x:f>G95*(1+F96)</x:f>
        <x:v>1429.141996344137</x:v>
      </x:c>
      <x:c r="H96" t="n">
        <x:f>G96/MAX($G$2:G96)-1</x:f>
        <x:v>-0.01100000000000012</x:v>
      </x:c>
    </x:row>
    <x:row r="97">
      <x:c r="A97" t="n">
        <x:v>43190</x:v>
      </x:c>
      <x:c r="B97" t="n">
        <x:v>2018</x:v>
      </x:c>
      <x:c r="C97" t="str">
        <x:v>Mar</x:v>
      </x:c>
      <x:c r="D97" t="n">
        <x:v>3</x:v>
      </x:c>
      <x:c r="E97" t="n">
        <x:v>-1.2</x:v>
      </x:c>
      <x:c r="F97" t="n">
        <x:f>E97/100</x:f>
        <x:v>-0.012</x:v>
      </x:c>
      <x:c r="G97" t="n">
        <x:f>G96*(1+F97)</x:f>
        <x:v>1411.9922923880072</x:v>
      </x:c>
      <x:c r="H97" t="n">
        <x:f>G97/MAX($G$2:G97)-1</x:f>
        <x:v>-0.02286800000000011</x:v>
      </x:c>
    </x:row>
    <x:row r="98">
      <x:c r="A98" t="n">
        <x:v>43220</x:v>
      </x:c>
      <x:c r="B98" t="n">
        <x:v>2018</x:v>
      </x:c>
      <x:c r="C98" t="str">
        <x:v>Apr</x:v>
      </x:c>
      <x:c r="D98" t="n">
        <x:v>4</x:v>
      </x:c>
      <x:c r="E98" t="n">
        <x:v>1.1</x:v>
      </x:c>
      <x:c r="F98" t="n">
        <x:f>E98/100</x:f>
        <x:v>0.011000000000000001</x:v>
      </x:c>
      <x:c r="G98" t="n">
        <x:f>G97*(1+F98)</x:f>
        <x:v>1427.524207604275</x:v>
      </x:c>
      <x:c r="H98" t="n">
        <x:f>G98/MAX($G$2:G98)-1</x:f>
        <x:v>-0.012119548000000258</x:v>
      </x:c>
    </x:row>
    <x:row r="99">
      <x:c r="A99" t="n">
        <x:v>43251</x:v>
      </x:c>
      <x:c r="B99" t="n">
        <x:v>2018</x:v>
      </x:c>
      <x:c r="C99" t="str">
        <x:v>Mag</x:v>
      </x:c>
      <x:c r="D99" t="n">
        <x:v>5</x:v>
      </x:c>
      <x:c r="E99" t="n">
        <x:v>1</x:v>
      </x:c>
      <x:c r="F99" t="n">
        <x:f>E99/100</x:f>
        <x:v>0.01</x:v>
      </x:c>
      <x:c r="G99" t="n">
        <x:f>G98*(1+F99)</x:f>
        <x:v>1441.7994496803178</x:v>
      </x:c>
      <x:c r="H99" t="n">
        <x:f>G99/MAX($G$2:G99)-1</x:f>
        <x:v>-0.0022407434800002513</x:v>
      </x:c>
    </x:row>
    <x:row r="100">
      <x:c r="A100" t="n">
        <x:v>43281</x:v>
      </x:c>
      <x:c r="B100" t="n">
        <x:v>2018</x:v>
      </x:c>
      <x:c r="C100" t="str">
        <x:v>Giu</x:v>
      </x:c>
      <x:c r="D100" t="n">
        <x:v>6</x:v>
      </x:c>
      <x:c r="E100" t="n">
        <x:v>0.4</x:v>
      </x:c>
      <x:c r="F100" t="n">
        <x:f>E100/100</x:f>
        <x:v>0.004</x:v>
      </x:c>
      <x:c r="G100" t="n">
        <x:f>G99*(1+F100)</x:f>
        <x:v>1447.5666474790391</x:v>
      </x:c>
      <x:c r="H100" t="n">
        <x:f>G100/MAX($G$2:G100)-1</x:f>
        <x:v>0</x:v>
      </x:c>
    </x:row>
    <x:row r="101">
      <x:c r="A101" t="n">
        <x:v>43312</x:v>
      </x:c>
      <x:c r="B101" t="n">
        <x:v>2018</x:v>
      </x:c>
      <x:c r="C101" t="str">
        <x:v>Lug</x:v>
      </x:c>
      <x:c r="D101" t="n">
        <x:v>7</x:v>
      </x:c>
      <x:c r="E101" t="n">
        <x:v>0.1</x:v>
      </x:c>
      <x:c r="F101" t="n">
        <x:f>E101/100</x:f>
        <x:v>0.001</x:v>
      </x:c>
      <x:c r="G101" t="n">
        <x:f>G100*(1+F101)</x:f>
        <x:v>1449.014214126518</x:v>
      </x:c>
      <x:c r="H101" t="n">
        <x:f>G101/MAX($G$2:G101)-1</x:f>
        <x:v>0</x:v>
      </x:c>
    </x:row>
    <x:row r="102">
      <x:c r="A102" t="n">
        <x:v>43343</x:v>
      </x:c>
      <x:c r="B102" t="n">
        <x:v>2018</x:v>
      </x:c>
      <x:c r="C102" t="str">
        <x:v>Ago</x:v>
      </x:c>
      <x:c r="D102" t="n">
        <x:v>8</x:v>
      </x:c>
      <x:c r="E102" t="n">
        <x:v>0.8</x:v>
      </x:c>
      <x:c r="F102" t="n">
        <x:f>E102/100</x:f>
        <x:v>0.008</x:v>
      </x:c>
      <x:c r="G102" t="n">
        <x:f>G101*(1+F102)</x:f>
        <x:v>1460.6063278395302</x:v>
      </x:c>
      <x:c r="H102" t="n">
        <x:f>G102/MAX($G$2:G102)-1</x:f>
        <x:v>0</x:v>
      </x:c>
    </x:row>
    <x:row r="103">
      <x:c r="A103" t="n">
        <x:v>43373</x:v>
      </x:c>
      <x:c r="B103" t="n">
        <x:v>2018</x:v>
      </x:c>
      <x:c r="C103" t="str">
        <x:v>Set</x:v>
      </x:c>
      <x:c r="D103" t="n">
        <x:v>9</x:v>
      </x:c>
      <x:c r="E103" t="n">
        <x:v>-0.6</x:v>
      </x:c>
      <x:c r="F103" t="n">
        <x:f>E103/100</x:f>
        <x:v>-0.006</x:v>
      </x:c>
      <x:c r="G103" t="n">
        <x:f>G102*(1+F103)</x:f>
        <x:v>1451.842689872493</x:v>
      </x:c>
      <x:c r="H103" t="n">
        <x:f>G103/MAX($G$2:G103)-1</x:f>
        <x:v>-0.005999999999999894</x:v>
      </x:c>
    </x:row>
    <x:row r="104">
      <x:c r="A104" t="n">
        <x:v>43404</x:v>
      </x:c>
      <x:c r="B104" t="n">
        <x:v>2018</x:v>
      </x:c>
      <x:c r="C104" t="str">
        <x:v>Ott</x:v>
      </x:c>
      <x:c r="D104" t="n">
        <x:v>10</x:v>
      </x:c>
      <x:c r="E104" t="n">
        <x:v>-2.2</x:v>
      </x:c>
      <x:c r="F104" t="n">
        <x:f>E104/100</x:f>
        <x:v>-0.022000000000000002</x:v>
      </x:c>
      <x:c r="G104" t="n">
        <x:f>G103*(1+F104)</x:f>
        <x:v>1419.9021506952981</x:v>
      </x:c>
      <x:c r="H104" t="n">
        <x:f>G104/MAX($G$2:G104)-1</x:f>
        <x:v>-0.027868000000000004</x:v>
      </x:c>
    </x:row>
    <x:row r="105">
      <x:c r="A105" t="n">
        <x:v>43434</x:v>
      </x:c>
      <x:c r="B105" t="n">
        <x:v>2018</x:v>
      </x:c>
      <x:c r="C105" t="str">
        <x:v>Nov</x:v>
      </x:c>
      <x:c r="D105" t="n">
        <x:v>11</x:v>
      </x:c>
      <x:c r="E105" t="n">
        <x:v>0.1</x:v>
      </x:c>
      <x:c r="F105" t="n">
        <x:f>E105/100</x:f>
        <x:v>0.001</x:v>
      </x:c>
      <x:c r="G105" t="n">
        <x:f>G104*(1+F105)</x:f>
        <x:v>1421.3220528459933</x:v>
      </x:c>
      <x:c r="H105" t="n">
        <x:f>G105/MAX($G$2:G105)-1</x:f>
        <x:v>-0.0268958680000001</x:v>
      </x:c>
    </x:row>
    <x:row r="106">
      <x:c r="A106" t="n">
        <x:v>43465</x:v>
      </x:c>
      <x:c r="B106" t="n">
        <x:v>2018</x:v>
      </x:c>
      <x:c r="C106" t="str">
        <x:v>Dic</x:v>
      </x:c>
      <x:c r="D106" t="n">
        <x:v>12</x:v>
      </x:c>
      <x:c r="E106" t="n">
        <x:v>-2.4</x:v>
      </x:c>
      <x:c r="F106" t="n">
        <x:f>E106/100</x:f>
        <x:v>-0.024</x:v>
      </x:c>
      <x:c r="G106" t="n">
        <x:f>G105*(1+F106)</x:f>
        <x:v>1387.2103235776895</x:v>
      </x:c>
      <x:c r="H106" t="n">
        <x:f>G106/MAX($G$2:G106)-1</x:f>
        <x:v>-0.05025036716800013</x:v>
      </x:c>
    </x:row>
    <x:row r="107">
      <x:c r="A107" t="n">
        <x:v>43496</x:v>
      </x:c>
      <x:c r="B107" t="n">
        <x:v>2019</x:v>
      </x:c>
      <x:c r="C107" t="str">
        <x:v>Gen</x:v>
      </x:c>
      <x:c r="D107" t="n">
        <x:v>1</x:v>
      </x:c>
      <x:c r="E107" t="n">
        <x:v>2.8</x:v>
      </x:c>
      <x:c r="F107" t="n">
        <x:f>E107/100</x:f>
        <x:v>0.027999999999999997</x:v>
      </x:c>
      <x:c r="G107" t="n">
        <x:f>G106*(1+F107)</x:f>
        <x:v>1426.0522126378648</x:v>
      </x:c>
      <x:c r="H107" t="n">
        <x:f>G107/MAX($G$2:G107)-1</x:f>
        <x:v>-0.02365737744870411</x:v>
      </x:c>
    </x:row>
    <x:row r="108">
      <x:c r="A108" t="n">
        <x:v>43524</x:v>
      </x:c>
      <x:c r="B108" t="n">
        <x:v>2019</x:v>
      </x:c>
      <x:c r="C108" t="str">
        <x:v>Feb</x:v>
      </x:c>
      <x:c r="D108" t="n">
        <x:v>2</x:v>
      </x:c>
      <x:c r="E108" t="n">
        <x:v>1</x:v>
      </x:c>
      <x:c r="F108" t="n">
        <x:f>E108/100</x:f>
        <x:v>0.01</x:v>
      </x:c>
      <x:c r="G108" t="n">
        <x:f>G107*(1+F108)</x:f>
        <x:v>1440.3127347642435</x:v>
      </x:c>
      <x:c r="H108" t="n">
        <x:f>G108/MAX($G$2:G108)-1</x:f>
        <x:v>-0.013893951223191148</x:v>
      </x:c>
    </x:row>
    <x:row r="109">
      <x:c r="A109" t="n">
        <x:v>43555</x:v>
      </x:c>
      <x:c r="B109" t="n">
        <x:v>2019</x:v>
      </x:c>
      <x:c r="C109" t="str">
        <x:v>Mar</x:v>
      </x:c>
      <x:c r="D109" t="n">
        <x:v>3</x:v>
      </x:c>
      <x:c r="E109" t="n">
        <x:v>2.6</x:v>
      </x:c>
      <x:c r="F109" t="n">
        <x:f>E109/100</x:f>
        <x:v>0.026000000000000002</x:v>
      </x:c>
      <x:c r="G109" t="n">
        <x:f>G108*(1+F109)</x:f>
        <x:v>1477.7608658681138</x:v>
      </x:c>
      <x:c r="H109" t="n">
        <x:f>G109/MAX($G$2:G109)-1</x:f>
        <x:v>0</x:v>
      </x:c>
    </x:row>
    <x:row r="110">
      <x:c r="A110" t="n">
        <x:v>43585</x:v>
      </x:c>
      <x:c r="B110" t="n">
        <x:v>2019</x:v>
      </x:c>
      <x:c r="C110" t="str">
        <x:v>Apr</x:v>
      </x:c>
      <x:c r="D110" t="n">
        <x:v>4</x:v>
      </x:c>
      <x:c r="E110" t="n">
        <x:v>0.9</x:v>
      </x:c>
      <x:c r="F110" t="n">
        <x:f>E110/100</x:f>
        <x:v>0.009000000000000001</x:v>
      </x:c>
      <x:c r="G110" t="n">
        <x:f>G109*(1+F110)</x:f>
        <x:v>1491.0607136609267</x:v>
      </x:c>
      <x:c r="H110" t="n">
        <x:f>G110/MAX($G$2:G110)-1</x:f>
        <x:v>0</x:v>
      </x:c>
    </x:row>
    <x:row r="111">
      <x:c r="A111" t="n">
        <x:v>43616</x:v>
      </x:c>
      <x:c r="B111" t="n">
        <x:v>2019</x:v>
      </x:c>
      <x:c r="C111" t="str">
        <x:v>Mag</x:v>
      </x:c>
      <x:c r="D111" t="n">
        <x:v>5</x:v>
      </x:c>
      <x:c r="E111" t="n">
        <x:v>-2.7</x:v>
      </x:c>
      <x:c r="F111" t="n">
        <x:f>E111/100</x:f>
        <x:v>-0.027000000000000003</x:v>
      </x:c>
      <x:c r="G111" t="n">
        <x:f>G110*(1+F111)</x:f>
        <x:v>1450.8020743920817</x:v>
      </x:c>
      <x:c r="H111" t="n">
        <x:f>G111/MAX($G$2:G111)-1</x:f>
        <x:v>-0.026999999999999913</x:v>
      </x:c>
    </x:row>
    <x:row r="112">
      <x:c r="A112" t="n">
        <x:v>43646</x:v>
      </x:c>
      <x:c r="B112" t="n">
        <x:v>2019</x:v>
      </x:c>
      <x:c r="C112" t="str">
        <x:v>Giu</x:v>
      </x:c>
      <x:c r="D112" t="n">
        <x:v>6</x:v>
      </x:c>
      <x:c r="E112" t="n">
        <x:v>2.9</x:v>
      </x:c>
      <x:c r="F112" t="n">
        <x:f>E112/100</x:f>
        <x:v>0.028999999999999998</x:v>
      </x:c>
      <x:c r="G112" t="n">
        <x:f>G111*(1+F112)</x:f>
        <x:v>1492.875334549452</x:v>
      </x:c>
      <x:c r="H112" t="n">
        <x:f>G112/MAX($G$2:G112)-1</x:f>
        <x:v>0</x:v>
      </x:c>
    </x:row>
    <x:row r="113">
      <x:c r="A113" t="n">
        <x:v>43677</x:v>
      </x:c>
      <x:c r="B113" t="n">
        <x:v>2019</x:v>
      </x:c>
      <x:c r="C113" t="str">
        <x:v>Lug</x:v>
      </x:c>
      <x:c r="D113" t="n">
        <x:v>7</x:v>
      </x:c>
      <x:c r="E113" t="n">
        <x:v>-0.1</x:v>
      </x:c>
      <x:c r="F113" t="n">
        <x:f>E113/100</x:f>
        <x:v>-0.001</x:v>
      </x:c>
      <x:c r="G113" t="n">
        <x:f>G112*(1+F113)</x:f>
        <x:v>1491.3824592149026</x:v>
      </x:c>
      <x:c r="H113" t="n">
        <x:f>G113/MAX($G$2:G113)-1</x:f>
        <x:v>-0.0009999999999998899</x:v>
      </x:c>
    </x:row>
    <x:row r="114">
      <x:c r="A114" t="n">
        <x:v>43708</x:v>
      </x:c>
      <x:c r="B114" t="n">
        <x:v>2019</x:v>
      </x:c>
      <x:c r="C114" t="str">
        <x:v>Ago</x:v>
      </x:c>
      <x:c r="D114" t="n">
        <x:v>8</x:v>
      </x:c>
      <x:c r="E114" t="n">
        <x:v>-0.1</x:v>
      </x:c>
      <x:c r="F114" t="n">
        <x:f>E114/100</x:f>
        <x:v>-0.001</x:v>
      </x:c>
      <x:c r="G114" t="n">
        <x:f>G113*(1+F114)</x:f>
        <x:v>1489.8910767556877</x:v>
      </x:c>
      <x:c r="H114" t="n">
        <x:f>G114/MAX($G$2:G114)-1</x:f>
        <x:v>-0.001998999999999973</x:v>
      </x:c>
    </x:row>
    <x:row r="115">
      <x:c r="A115" t="n">
        <x:v>43738</x:v>
      </x:c>
      <x:c r="B115" t="n">
        <x:v>2019</x:v>
      </x:c>
      <x:c r="C115" t="str">
        <x:v>Set</x:v>
      </x:c>
      <x:c r="D115" t="n">
        <x:v>9</x:v>
      </x:c>
      <x:c r="E115" t="n">
        <x:v>-0.1</x:v>
      </x:c>
      <x:c r="F115" t="n">
        <x:f>E115/100</x:f>
        <x:v>-0.001</x:v>
      </x:c>
      <x:c r="G115" t="n">
        <x:f>G114*(1+F115)</x:f>
        <x:v>1488.401185678932</x:v>
      </x:c>
      <x:c r="H115" t="n">
        <x:f>G115/MAX($G$2:G115)-1</x:f>
        <x:v>-0.002997000999999888</x:v>
      </x:c>
    </x:row>
    <x:row r="116">
      <x:c r="A116" t="n">
        <x:v>43769</x:v>
      </x:c>
      <x:c r="B116" t="n">
        <x:v>2019</x:v>
      </x:c>
      <x:c r="C116" t="str">
        <x:v>Ott</x:v>
      </x:c>
      <x:c r="D116" t="n">
        <x:v>10</x:v>
      </x:c>
      <x:c r="E116" t="n">
        <x:v>-0.2</x:v>
      </x:c>
      <x:c r="F116" t="n">
        <x:f>E116/100</x:f>
        <x:v>-0.002</x:v>
      </x:c>
      <x:c r="G116" t="n">
        <x:f>G115*(1+F116)</x:f>
        <x:v>1485.424383307574</x:v>
      </x:c>
      <x:c r="H116" t="n">
        <x:f>G116/MAX($G$2:G116)-1</x:f>
        <x:v>-0.004991006997999925</x:v>
      </x:c>
    </x:row>
    <x:row r="117">
      <x:c r="A117" t="n">
        <x:v>43799</x:v>
      </x:c>
      <x:c r="B117" t="n">
        <x:v>2019</x:v>
      </x:c>
      <x:c r="C117" t="str">
        <x:v>Nov</x:v>
      </x:c>
      <x:c r="D117" t="n">
        <x:v>11</x:v>
      </x:c>
      <x:c r="E117" t="n">
        <x:v>0.3</x:v>
      </x:c>
      <x:c r="F117" t="n">
        <x:f>E117/100</x:f>
        <x:v>0.003</x:v>
      </x:c>
      <x:c r="G117" t="n">
        <x:f>G116*(1+F117)</x:f>
        <x:v>1489.8806564574966</x:v>
      </x:c>
      <x:c r="H117" t="n">
        <x:f>G117/MAX($G$2:G117)-1</x:f>
        <x:v>-0.0020059800189941024</x:v>
      </x:c>
    </x:row>
    <x:row r="118">
      <x:c r="A118" t="n">
        <x:v>43830</x:v>
      </x:c>
      <x:c r="B118" t="n">
        <x:v>2019</x:v>
      </x:c>
      <x:c r="C118" t="str">
        <x:v>Dic</x:v>
      </x:c>
      <x:c r="D118" t="n">
        <x:v>12</x:v>
      </x:c>
      <x:c r="E118" t="n">
        <x:v>0.7</x:v>
      </x:c>
      <x:c r="F118" t="n">
        <x:f>E118/100</x:f>
        <x:v>0.006999999999999999</x:v>
      </x:c>
      <x:c r="G118" t="n">
        <x:f>G117*(1+F118)</x:f>
        <x:v>1500.309821052699</x:v>
      </x:c>
      <x:c r="H118" t="n">
        <x:f>G118/MAX($G$2:G118)-1</x:f>
        <x:v>0</x:v>
      </x:c>
    </x:row>
    <x:row r="119">
      <x:c r="A119" t="n">
        <x:v>43861</x:v>
      </x:c>
      <x:c r="B119" t="n">
        <x:v>2020</x:v>
      </x:c>
      <x:c r="C119" t="str">
        <x:v>Gen</x:v>
      </x:c>
      <x:c r="D119" t="n">
        <x:v>1</x:v>
      </x:c>
      <x:c r="E119" t="n">
        <x:v>0.7</x:v>
      </x:c>
      <x:c r="F119" t="n">
        <x:f>E119/100</x:f>
        <x:v>0.006999999999999999</x:v>
      </x:c>
      <x:c r="G119" t="n">
        <x:f>G118*(1+F119)</x:f>
        <x:v>1510.8119898000677</x:v>
      </x:c>
      <x:c r="H119" t="n">
        <x:f>G119/MAX($G$2:G119)-1</x:f>
        <x:v>0</x:v>
      </x:c>
    </x:row>
    <x:row r="120">
      <x:c r="A120" t="n">
        <x:v>43890</x:v>
      </x:c>
      <x:c r="B120" t="n">
        <x:v>2020</x:v>
      </x:c>
      <x:c r="C120" t="str">
        <x:v>Feb</x:v>
      </x:c>
      <x:c r="D120" t="n">
        <x:v>2</x:v>
      </x:c>
      <x:c r="E120" t="n">
        <x:v>-1</x:v>
      </x:c>
      <x:c r="F120" t="n">
        <x:f>E120/100</x:f>
        <x:v>-0.01</x:v>
      </x:c>
      <x:c r="G120" t="n">
        <x:f>G119*(1+F120)</x:f>
        <x:v>1495.703869902067</x:v>
      </x:c>
      <x:c r="H120" t="n">
        <x:f>G120/MAX($G$2:G120)-1</x:f>
        <x:v>-0.010000000000000009</x:v>
      </x:c>
    </x:row>
    <x:row r="121">
      <x:c r="A121" t="n">
        <x:v>43921</x:v>
      </x:c>
      <x:c r="B121" t="n">
        <x:v>2020</x:v>
      </x:c>
      <x:c r="C121" t="str">
        <x:v>Mar</x:v>
      </x:c>
      <x:c r="D121" t="n">
        <x:v>3</x:v>
      </x:c>
      <x:c r="E121" t="n">
        <x:v>-9.5</x:v>
      </x:c>
      <x:c r="F121" t="n">
        <x:f>E121/100</x:f>
        <x:v>-0.095</x:v>
      </x:c>
      <x:c r="G121" t="n">
        <x:f>G120*(1+F121)</x:f>
        <x:v>1353.6120022613707</x:v>
      </x:c>
      <x:c r="H121" t="n">
        <x:f>G121/MAX($G$2:G121)-1</x:f>
        <x:v>-0.10404999999999998</x:v>
      </x:c>
    </x:row>
    <x:row r="122">
      <x:c r="A122" t="n">
        <x:v>43951</x:v>
      </x:c>
      <x:c r="B122" t="n">
        <x:v>2020</x:v>
      </x:c>
      <x:c r="C122" t="str">
        <x:v>Apr</x:v>
      </x:c>
      <x:c r="D122" t="n">
        <x:v>4</x:v>
      </x:c>
      <x:c r="E122" t="n">
        <x:v>3.3</x:v>
      </x:c>
      <x:c r="F122" t="n">
        <x:f>E122/100</x:f>
        <x:v>0.033</x:v>
      </x:c>
      <x:c r="G122" t="n">
        <x:f>G121*(1+F122)</x:f>
        <x:v>1398.281198335996</x:v>
      </x:c>
      <x:c r="H122" t="n">
        <x:f>G122/MAX($G$2:G122)-1</x:f>
        <x:v>-0.07448365000000001</x:v>
      </x:c>
    </x:row>
    <x:row r="123">
      <x:c r="A123" t="n">
        <x:v>43982</x:v>
      </x:c>
      <x:c r="B123" t="n">
        <x:v>2020</x:v>
      </x:c>
      <x:c r="C123" t="str">
        <x:v>Mag</x:v>
      </x:c>
      <x:c r="D123" t="n">
        <x:v>5</x:v>
      </x:c>
      <x:c r="E123" t="n">
        <x:v>-0.7</x:v>
      </x:c>
      <x:c r="F123" t="n">
        <x:f>E123/100</x:f>
        <x:v>-0.006999999999999999</x:v>
      </x:c>
      <x:c r="G123" t="n">
        <x:f>G122*(1+F123)</x:f>
        <x:v>1388.4932299476438</x:v>
      </x:c>
      <x:c r="H123" t="n">
        <x:f>G123/MAX($G$2:G123)-1</x:f>
        <x:v>-0.0809622644500001</x:v>
      </x:c>
    </x:row>
    <x:row r="124">
      <x:c r="A124" t="n">
        <x:v>44012</x:v>
      </x:c>
      <x:c r="B124" t="n">
        <x:v>2020</x:v>
      </x:c>
      <x:c r="C124" t="str">
        <x:v>Giu</x:v>
      </x:c>
      <x:c r="D124" t="n">
        <x:v>6</x:v>
      </x:c>
      <x:c r="E124" t="n">
        <x:v>-0.2</x:v>
      </x:c>
      <x:c r="F124" t="n">
        <x:f>E124/100</x:f>
        <x:v>-0.002</x:v>
      </x:c>
      <x:c r="G124" t="n">
        <x:f>G123*(1+F124)</x:f>
        <x:v>1385.7162434877484</x:v>
      </x:c>
      <x:c r="H124" t="n">
        <x:f>G124/MAX($G$2:G124)-1</x:f>
        <x:v>-0.08280033992110014</x:v>
      </x:c>
    </x:row>
    <x:row r="125">
      <x:c r="A125" t="n">
        <x:v>44043</x:v>
      </x:c>
      <x:c r="B125" t="n">
        <x:v>2020</x:v>
      </x:c>
      <x:c r="C125" t="str">
        <x:v>Lug</x:v>
      </x:c>
      <x:c r="D125" t="n">
        <x:v>7</x:v>
      </x:c>
      <x:c r="E125" t="n">
        <x:v>0.3</x:v>
      </x:c>
      <x:c r="F125" t="n">
        <x:f>E125/100</x:f>
        <x:v>0.003</x:v>
      </x:c>
      <x:c r="G125" t="n">
        <x:f>G124*(1+F125)</x:f>
        <x:v>1389.8733922182116</x:v>
      </x:c>
      <x:c r="H125" t="n">
        <x:f>G125/MAX($G$2:G125)-1</x:f>
        <x:v>-0.08004874094086345</x:v>
      </x:c>
    </x:row>
    <x:row r="126">
      <x:c r="A126" t="n">
        <x:v>44074</x:v>
      </x:c>
      <x:c r="B126" t="n">
        <x:v>2020</x:v>
      </x:c>
      <x:c r="C126" t="str">
        <x:v>Ago</x:v>
      </x:c>
      <x:c r="D126" t="n">
        <x:v>8</x:v>
      </x:c>
      <x:c r="E126" t="n">
        <x:v>3.1</x:v>
      </x:c>
      <x:c r="F126" t="n">
        <x:f>E126/100</x:f>
        <x:v>0.031</x:v>
      </x:c>
      <x:c r="G126" t="n">
        <x:f>G125*(1+F126)</x:f>
        <x:v>1432.9594673769761</x:v>
      </x:c>
      <x:c r="H126" t="n">
        <x:f>G126/MAX($G$2:G126)-1</x:f>
        <x:v>-0.051530251910030245</x:v>
      </x:c>
    </x:row>
    <x:row r="127">
      <x:c r="A127" t="n">
        <x:v>44104</x:v>
      </x:c>
      <x:c r="B127" t="n">
        <x:v>2020</x:v>
      </x:c>
      <x:c r="C127" t="str">
        <x:v>Set</x:v>
      </x:c>
      <x:c r="D127" t="n">
        <x:v>9</x:v>
      </x:c>
      <x:c r="E127" t="n">
        <x:v>-1.7</x:v>
      </x:c>
      <x:c r="F127" t="n">
        <x:f>E127/100</x:f>
        <x:v>-0.017</x:v>
      </x:c>
      <x:c r="G127" t="n">
        <x:f>G126*(1+F127)</x:f>
        <x:v>1408.5991564315675</x:v>
      </x:c>
      <x:c r="H127" t="n">
        <x:f>G127/MAX($G$2:G127)-1</x:f>
        <x:v>-0.06765423762755984</x:v>
      </x:c>
    </x:row>
    <x:row r="128">
      <x:c r="A128" t="n">
        <x:v>44135</x:v>
      </x:c>
      <x:c r="B128" t="n">
        <x:v>2020</x:v>
      </x:c>
      <x:c r="C128" t="str">
        <x:v>Ott</x:v>
      </x:c>
      <x:c r="D128" t="n">
        <x:v>10</x:v>
      </x:c>
      <x:c r="E128" t="n">
        <x:v>1</x:v>
      </x:c>
      <x:c r="F128" t="n">
        <x:f>E128/100</x:f>
        <x:v>0.01</x:v>
      </x:c>
      <x:c r="G128" t="n">
        <x:f>G127*(1+F128)</x:f>
        <x:v>1422.6851479958832</x:v>
      </x:c>
      <x:c r="H128" t="n">
        <x:f>G128/MAX($G$2:G128)-1</x:f>
        <x:v>-0.0583307800038354</x:v>
      </x:c>
    </x:row>
    <x:row r="129">
      <x:c r="A129" t="n">
        <x:v>44165</x:v>
      </x:c>
      <x:c r="B129" t="n">
        <x:v>2020</x:v>
      </x:c>
      <x:c r="C129" t="str">
        <x:v>Nov</x:v>
      </x:c>
      <x:c r="D129" t="n">
        <x:v>11</x:v>
      </x:c>
      <x:c r="E129" t="n">
        <x:v>-0.6</x:v>
      </x:c>
      <x:c r="F129" t="n">
        <x:f>E129/100</x:f>
        <x:v>-0.006</x:v>
      </x:c>
      <x:c r="G129" t="n">
        <x:f>G128*(1+F129)</x:f>
        <x:v>1414.1490371079078</x:v>
      </x:c>
      <x:c r="H129" t="n">
        <x:f>G129/MAX($G$2:G129)-1</x:f>
        <x:v>-0.0639807953238124</x:v>
      </x:c>
    </x:row>
    <x:row r="130">
      <x:c r="A130" t="n">
        <x:v>44196</x:v>
      </x:c>
      <x:c r="B130" t="n">
        <x:v>2020</x:v>
      </x:c>
      <x:c r="C130" t="str">
        <x:v>Dic</x:v>
      </x:c>
      <x:c r="D130" t="n">
        <x:v>12</x:v>
      </x:c>
      <x:c r="E130" t="n">
        <x:v>5.8</x:v>
      </x:c>
      <x:c r="F130" t="n">
        <x:f>E130/100</x:f>
        <x:v>0.057999999999999996</x:v>
      </x:c>
      <x:c r="G130" t="n">
        <x:f>G129*(1+F130)</x:f>
        <x:v>1496.1696812601665</x:v>
      </x:c>
      <x:c r="H130" t="n">
        <x:f>G130/MAX($G$2:G130)-1</x:f>
        <x:v>-0.009691681452593581</x:v>
      </x:c>
    </x:row>
    <x:row r="131">
      <x:c r="A131" t="n">
        <x:v>44227</x:v>
      </x:c>
      <x:c r="B131" t="n">
        <x:v>2021</x:v>
      </x:c>
      <x:c r="C131" t="str">
        <x:v>Gen</x:v>
      </x:c>
      <x:c r="D131" t="n">
        <x:v>1</x:v>
      </x:c>
      <x:c r="E131" t="n">
        <x:v>2.5</x:v>
      </x:c>
      <x:c r="F131" t="n">
        <x:f>E131/100</x:f>
        <x:v>0.025</x:v>
      </x:c>
      <x:c r="G131" t="n">
        <x:f>G130*(1+F131)</x:f>
        <x:v>1533.5739232916706</x:v>
      </x:c>
      <x:c r="H131" t="n">
        <x:f>G131/MAX($G$2:G131)-1</x:f>
        <x:v>0</x:v>
      </x:c>
    </x:row>
    <x:row r="132">
      <x:c r="A132" t="n">
        <x:v>44255</x:v>
      </x:c>
      <x:c r="B132" t="n">
        <x:v>2021</x:v>
      </x:c>
      <x:c r="C132" t="str">
        <x:v>Feb</x:v>
      </x:c>
      <x:c r="D132" t="n">
        <x:v>2</x:v>
      </x:c>
      <x:c r="E132" t="n">
        <x:v>-0.1</x:v>
      </x:c>
      <x:c r="F132" t="n">
        <x:f>E132/100</x:f>
        <x:v>-0.001</x:v>
      </x:c>
      <x:c r="G132" t="n">
        <x:f>G131*(1+F132)</x:f>
        <x:v>1532.0403493683789</x:v>
      </x:c>
      <x:c r="H132" t="n">
        <x:f>G132/MAX($G$2:G132)-1</x:f>
        <x:v>-0.0010000000000000009</x:v>
      </x:c>
    </x:row>
    <x:row r="133">
      <x:c r="A133" t="n">
        <x:v>44286</x:v>
      </x:c>
      <x:c r="B133" t="n">
        <x:v>2021</x:v>
      </x:c>
      <x:c r="C133" t="str">
        <x:v>Mar</x:v>
      </x:c>
      <x:c r="D133" t="n">
        <x:v>3</x:v>
      </x:c>
      <x:c r="E133" t="n">
        <x:v>-2.1</x:v>
      </x:c>
      <x:c r="F133" t="n">
        <x:f>E133/100</x:f>
        <x:v>-0.021</x:v>
      </x:c>
      <x:c r="G133" t="n">
        <x:f>G132*(1+F133)</x:f>
        <x:v>1499.867502031643</x:v>
      </x:c>
      <x:c r="H133" t="n">
        <x:f>G133/MAX($G$2:G133)-1</x:f>
        <x:v>-0.02197899999999997</x:v>
      </x:c>
    </x:row>
    <x:row r="134">
      <x:c r="A134" t="n">
        <x:v>44316</x:v>
      </x:c>
      <x:c r="B134" t="n">
        <x:v>2021</x:v>
      </x:c>
      <x:c r="C134" t="str">
        <x:v>Apr</x:v>
      </x:c>
      <x:c r="D134" t="n">
        <x:v>4</x:v>
      </x:c>
      <x:c r="E134" t="n">
        <x:v>2</x:v>
      </x:c>
      <x:c r="F134" t="n">
        <x:f>E134/100</x:f>
        <x:v>0.02</x:v>
      </x:c>
      <x:c r="G134" t="n">
        <x:f>G133*(1+F134)</x:f>
        <x:v>1529.8648520722759</x:v>
      </x:c>
      <x:c r="H134" t="n">
        <x:f>G134/MAX($G$2:G134)-1</x:f>
        <x:v>-0.002418579999999948</x:v>
      </x:c>
    </x:row>
    <x:row r="135">
      <x:c r="A135" t="n">
        <x:v>44347</x:v>
      </x:c>
      <x:c r="B135" t="n">
        <x:v>2021</x:v>
      </x:c>
      <x:c r="C135" t="str">
        <x:v>Mag</x:v>
      </x:c>
      <x:c r="D135" t="n">
        <x:v>5</x:v>
      </x:c>
      <x:c r="E135" t="n">
        <x:v>-1.1</x:v>
      </x:c>
      <x:c r="F135" t="n">
        <x:f>E135/100</x:f>
        <x:v>-0.011000000000000001</x:v>
      </x:c>
      <x:c r="G135" t="n">
        <x:f>G134*(1+F135)</x:f>
        <x:v>1513.036338699481</x:v>
      </x:c>
      <x:c r="H135" t="n">
        <x:f>G135/MAX($G$2:G135)-1</x:f>
        <x:v>-0.01339197561999994</x:v>
      </x:c>
    </x:row>
    <x:row r="136">
      <x:c r="A136" t="n">
        <x:v>44377</x:v>
      </x:c>
      <x:c r="B136" t="n">
        <x:v>2021</x:v>
      </x:c>
      <x:c r="C136" t="str">
        <x:v>Giu</x:v>
      </x:c>
      <x:c r="D136" t="n">
        <x:v>6</x:v>
      </x:c>
      <x:c r="E136" t="n">
        <x:v>3.8</x:v>
      </x:c>
      <x:c r="F136" t="n">
        <x:f>E136/100</x:f>
        <x:v>0.038</x:v>
      </x:c>
      <x:c r="G136" t="n">
        <x:f>G135*(1+F136)</x:f>
        <x:v>1570.5317195700611</x:v>
      </x:c>
      <x:c r="H136" t="n">
        <x:f>G136/MAX($G$2:G136)-1</x:f>
        <x:v>0</x:v>
      </x:c>
    </x:row>
    <x:row r="137">
      <x:c r="A137" t="n">
        <x:v>44408</x:v>
      </x:c>
      <x:c r="B137" t="n">
        <x:v>2021</x:v>
      </x:c>
      <x:c r="C137" t="str">
        <x:v>Lug</x:v>
      </x:c>
      <x:c r="D137" t="n">
        <x:v>7</x:v>
      </x:c>
      <x:c r="E137" t="n">
        <x:v>1.4</x:v>
      </x:c>
      <x:c r="F137" t="n">
        <x:f>E137/100</x:f>
        <x:v>0.013999999999999999</x:v>
      </x:c>
      <x:c r="G137" t="n">
        <x:f>G136*(1+F137)</x:f>
        <x:v>1592.519163644042</x:v>
      </x:c>
      <x:c r="H137" t="n">
        <x:f>G137/MAX($G$2:G137)-1</x:f>
        <x:v>0</x:v>
      </x:c>
    </x:row>
    <x:row r="138">
      <x:c r="A138" t="n">
        <x:v>44439</x:v>
      </x:c>
      <x:c r="B138" t="n">
        <x:v>2021</x:v>
      </x:c>
      <x:c r="C138" t="str">
        <x:v>Ago</x:v>
      </x:c>
      <x:c r="D138" t="n">
        <x:v>8</x:v>
      </x:c>
      <x:c r="E138" t="n">
        <x:v>2.7</x:v>
      </x:c>
      <x:c r="F138" t="n">
        <x:f>E138/100</x:f>
        <x:v>0.027000000000000003</x:v>
      </x:c>
      <x:c r="G138" t="n">
        <x:f>G137*(1+F138)</x:f>
        <x:v>1635.517181062431</x:v>
      </x:c>
      <x:c r="H138" t="n">
        <x:f>G138/MAX($G$2:G138)-1</x:f>
        <x:v>0</x:v>
      </x:c>
    </x:row>
    <x:row r="139">
      <x:c r="A139" t="n">
        <x:v>44469</x:v>
      </x:c>
      <x:c r="B139" t="n">
        <x:v>2021</x:v>
      </x:c>
      <x:c r="C139" t="str">
        <x:v>Set</x:v>
      </x:c>
      <x:c r="D139" t="n">
        <x:v>9</x:v>
      </x:c>
      <x:c r="E139" t="n">
        <x:v>-2.8</x:v>
      </x:c>
      <x:c r="F139" t="n">
        <x:f>E139/100</x:f>
        <x:v>-0.027999999999999997</x:v>
      </x:c>
      <x:c r="G139" t="n">
        <x:f>G138*(1+F139)</x:f>
        <x:v>1589.722699992683</x:v>
      </x:c>
      <x:c r="H139" t="n">
        <x:f>G139/MAX($G$2:G139)-1</x:f>
        <x:v>-0.028000000000000025</x:v>
      </x:c>
    </x:row>
    <x:row r="140">
      <x:c r="A140" t="n">
        <x:v>44500</x:v>
      </x:c>
      <x:c r="B140" t="n">
        <x:v>2021</x:v>
      </x:c>
      <x:c r="C140" t="str">
        <x:v>Ott</x:v>
      </x:c>
      <x:c r="D140" t="n">
        <x:v>10</x:v>
      </x:c>
      <x:c r="E140" t="n">
        <x:v>5.1</x:v>
      </x:c>
      <x:c r="F140" t="n">
        <x:f>E140/100</x:f>
        <x:v>0.051</x:v>
      </x:c>
      <x:c r="G140" t="n">
        <x:f>G139*(1+F140)</x:f>
        <x:v>1670.7985576923097</x:v>
      </x:c>
      <x:c r="H140" t="n">
        <x:f>G140/MAX($G$2:G140)-1</x:f>
        <x:v>0</x:v>
      </x:c>
    </x:row>
    <x:row r="141">
      <x:c r="A141" t="n">
        <x:v>44530</x:v>
      </x:c>
      <x:c r="B141" t="n">
        <x:v>2021</x:v>
      </x:c>
      <x:c r="C141" t="str">
        <x:v>Nov</x:v>
      </x:c>
      <x:c r="D141" t="n">
        <x:v>11</x:v>
      </x:c>
      <x:c r="E141" t="n">
        <x:v>1.9</x:v>
      </x:c>
      <x:c r="F141" t="n">
        <x:f>E141/100</x:f>
        <x:v>0.019</x:v>
      </x:c>
      <x:c r="G141" t="n">
        <x:f>G140*(1+F141)</x:f>
        <x:v>1702.5437302884634</x:v>
      </x:c>
      <x:c r="H141" t="n">
        <x:f>G141/MAX($G$2:G141)-1</x:f>
        <x:v>0</x:v>
      </x:c>
    </x:row>
    <x:row r="142">
      <x:c r="A142" t="n">
        <x:v>44561</x:v>
      </x:c>
      <x:c r="B142" t="n">
        <x:v>2021</x:v>
      </x:c>
      <x:c r="C142" t="str">
        <x:v>Dic</x:v>
      </x:c>
      <x:c r="D142" t="n">
        <x:v>12</x:v>
      </x:c>
      <x:c r="E142" t="n">
        <x:v>-0.1</x:v>
      </x:c>
      <x:c r="F142" t="n">
        <x:f>E142/100</x:f>
        <x:v>-0.001</x:v>
      </x:c>
      <x:c r="G142" t="n">
        <x:f>G141*(1+F142)</x:f>
        <x:v>1700.841186558175</x:v>
      </x:c>
      <x:c r="H142" t="n">
        <x:f>G142/MAX($G$2:G142)-1</x:f>
        <x:v>-0.0010000000000000009</x:v>
      </x:c>
    </x:row>
    <x:row r="143">
      <x:c r="A143" t="n">
        <x:v>44592</x:v>
      </x:c>
      <x:c r="B143" t="n">
        <x:v>2022</x:v>
      </x:c>
      <x:c r="C143" t="str">
        <x:v>Gen</x:v>
      </x:c>
      <x:c r="D143" t="n">
        <x:v>1</x:v>
      </x:c>
      <x:c r="E143" t="n">
        <x:v>-2</x:v>
      </x:c>
      <x:c r="F143" t="n">
        <x:f>E143/100</x:f>
        <x:v>-0.02</x:v>
      </x:c>
      <x:c r="G143" t="n">
        <x:f>G142*(1+F143)</x:f>
        <x:v>1666.8243628270113</x:v>
      </x:c>
      <x:c r="H143" t="n">
        <x:f>G143/MAX($G$2:G143)-1</x:f>
        <x:v>-0.02098000000000011</x:v>
      </x:c>
    </x:row>
    <x:row r="144">
      <x:c r="A144" t="n">
        <x:v>44620</x:v>
      </x:c>
      <x:c r="B144" t="n">
        <x:v>2022</x:v>
      </x:c>
      <x:c r="C144" t="str">
        <x:v>Feb</x:v>
      </x:c>
      <x:c r="D144" t="n">
        <x:v>2</x:v>
      </x:c>
      <x:c r="E144" t="n">
        <x:v>-0.3</x:v>
      </x:c>
      <x:c r="F144" t="n">
        <x:f>E144/100</x:f>
        <x:v>-0.003</x:v>
      </x:c>
      <x:c r="G144" t="n">
        <x:f>G143*(1+F144)</x:f>
        <x:v>1661.8238897385304</x:v>
      </x:c>
      <x:c r="H144" t="n">
        <x:f>G144/MAX($G$2:G144)-1</x:f>
        <x:v>-0.023917060000000046</x:v>
      </x:c>
    </x:row>
    <x:row r="145">
      <x:c r="A145" t="n">
        <x:v>44651</x:v>
      </x:c>
      <x:c r="B145" t="n">
        <x:v>2022</x:v>
      </x:c>
      <x:c r="C145" t="str">
        <x:v>Mar</x:v>
      </x:c>
      <x:c r="D145" t="n">
        <x:v>3</x:v>
      </x:c>
      <x:c r="E145" t="n">
        <x:v>0.9</x:v>
      </x:c>
      <x:c r="F145" t="n">
        <x:f>E145/100</x:f>
        <x:v>0.009000000000000001</x:v>
      </x:c>
      <x:c r="G145" t="n">
        <x:f>G144*(1+F145)</x:f>
        <x:v>1676.780304746177</x:v>
      </x:c>
      <x:c r="H145" t="n">
        <x:f>G145/MAX($G$2:G145)-1</x:f>
        <x:v>-0.015132313540000109</x:v>
      </x:c>
    </x:row>
    <x:row r="146">
      <x:c r="A146" t="n">
        <x:v>44681</x:v>
      </x:c>
      <x:c r="B146" t="n">
        <x:v>2022</x:v>
      </x:c>
      <x:c r="C146" t="str">
        <x:v>Apr</x:v>
      </x:c>
      <x:c r="D146" t="n">
        <x:v>4</x:v>
      </x:c>
      <x:c r="E146" t="n">
        <x:v>-0.9</x:v>
      </x:c>
      <x:c r="F146" t="n">
        <x:f>E146/100</x:f>
        <x:v>-0.009000000000000001</x:v>
      </x:c>
      <x:c r="G146" t="n">
        <x:f>G145*(1+F146)</x:f>
        <x:v>1661.6892820034616</x:v>
      </x:c>
      <x:c r="H146" t="n">
        <x:f>G146/MAX($G$2:G146)-1</x:f>
        <x:v>-0.02399612271814</x:v>
      </x:c>
    </x:row>
    <x:row r="147">
      <x:c r="A147" t="n">
        <x:v>44712</x:v>
      </x:c>
      <x:c r="B147" t="n">
        <x:v>2022</x:v>
      </x:c>
      <x:c r="C147" t="str">
        <x:v>Mag</x:v>
      </x:c>
      <x:c r="D147" t="n">
        <x:v>5</x:v>
      </x:c>
      <x:c r="E147" t="n">
        <x:v>-4.8</x:v>
      </x:c>
      <x:c r="F147" t="n">
        <x:f>E147/100</x:f>
        <x:v>-0.048</x:v>
      </x:c>
      <x:c r="G147" t="n">
        <x:f>G146*(1+F147)</x:f>
        <x:v>1581.9281964672953</x:v>
      </x:c>
      <x:c r="H147" t="n">
        <x:f>G147/MAX($G$2:G147)-1</x:f>
        <x:v>-0.07084430882766934</x:v>
      </x:c>
    </x:row>
    <x:row r="148">
      <x:c r="A148" t="n">
        <x:v>44742</x:v>
      </x:c>
      <x:c r="B148" t="n">
        <x:v>2022</x:v>
      </x:c>
      <x:c r="C148" t="str">
        <x:v>Giu</x:v>
      </x:c>
      <x:c r="D148" t="n">
        <x:v>6</x:v>
      </x:c>
      <x:c r="E148" t="n">
        <x:v>-2.7</x:v>
      </x:c>
      <x:c r="F148" t="n">
        <x:f>E148/100</x:f>
        <x:v>-0.027000000000000003</x:v>
      </x:c>
      <x:c r="G148" t="n">
        <x:f>G147*(1+F148)</x:f>
        <x:v>1539.2161351626783</x:v>
      </x:c>
      <x:c r="H148" t="n">
        <x:f>G148/MAX($G$2:G148)-1</x:f>
        <x:v>-0.0959315124893223</x:v>
      </x:c>
    </x:row>
    <x:row r="149">
      <x:c r="A149" t="n">
        <x:v>44773</x:v>
      </x:c>
      <x:c r="B149" t="n">
        <x:v>2022</x:v>
      </x:c>
      <x:c r="C149" t="str">
        <x:v>Lug</x:v>
      </x:c>
      <x:c r="D149" t="n">
        <x:v>7</x:v>
      </x:c>
      <x:c r="E149" t="n">
        <x:v>3.8</x:v>
      </x:c>
      <x:c r="F149" t="n">
        <x:f>E149/100</x:f>
        <x:v>0.038</x:v>
      </x:c>
      <x:c r="G149" t="n">
        <x:f>G148*(1+F149)</x:f>
        <x:v>1597.7063482988601</x:v>
      </x:c>
      <x:c r="H149" t="n">
        <x:f>G149/MAX($G$2:G149)-1</x:f>
        <x:v>-0.061576909963916515</x:v>
      </x:c>
    </x:row>
    <x:row r="150">
      <x:c r="A150" t="n">
        <x:v>44804</x:v>
      </x:c>
      <x:c r="B150" t="n">
        <x:v>2022</x:v>
      </x:c>
      <x:c r="C150" t="str">
        <x:v>Ago</x:v>
      </x:c>
      <x:c r="D150" t="n">
        <x:v>8</x:v>
      </x:c>
      <x:c r="E150" t="n">
        <x:v>-1.8</x:v>
      </x:c>
      <x:c r="F150" t="n">
        <x:f>E150/100</x:f>
        <x:v>-0.018000000000000002</x:v>
      </x:c>
      <x:c r="G150" t="n">
        <x:f>G149*(1+F150)</x:f>
        <x:v>1568.9476340294807</x:v>
      </x:c>
      <x:c r="H150" t="n">
        <x:f>G150/MAX($G$2:G150)-1</x:f>
        <x:v>-0.07846852558456596</x:v>
      </x:c>
    </x:row>
    <x:row r="151">
      <x:c r="A151" t="n">
        <x:v>44834</x:v>
      </x:c>
      <x:c r="B151" t="n">
        <x:v>2022</x:v>
      </x:c>
      <x:c r="C151" t="str">
        <x:v>Set</x:v>
      </x:c>
      <x:c r="D151" t="n">
        <x:v>9</x:v>
      </x:c>
      <x:c r="E151" t="n">
        <x:v>-4.8</x:v>
      </x:c>
      <x:c r="F151" t="n">
        <x:f>E151/100</x:f>
        <x:v>-0.048</x:v>
      </x:c>
      <x:c r="G151" t="n">
        <x:f>G150*(1+F151)</x:f>
        <x:v>1493.6381475960657</x:v>
      </x:c>
      <x:c r="H151" t="n">
        <x:f>G151/MAX($G$2:G151)-1</x:f>
        <x:v>-0.12270203635650678</x:v>
      </x:c>
    </x:row>
    <x:row r="152">
      <x:c r="A152" t="n">
        <x:v>44865</x:v>
      </x:c>
      <x:c r="B152" t="n">
        <x:v>2022</x:v>
      </x:c>
      <x:c r="C152" t="str">
        <x:v>Ott</x:v>
      </x:c>
      <x:c r="D152" t="n">
        <x:v>10</x:v>
      </x:c>
      <x:c r="E152" t="n">
        <x:v>0.8</x:v>
      </x:c>
      <x:c r="F152" t="n">
        <x:f>E152/100</x:f>
        <x:v>0.008</x:v>
      </x:c>
      <x:c r="G152" t="n">
        <x:f>G151*(1+F152)</x:f>
        <x:v>1505.5872527768342</x:v>
      </x:c>
      <x:c r="H152" t="n">
        <x:f>G152/MAX($G$2:G152)-1</x:f>
        <x:v>-0.1156836526473588</x:v>
      </x:c>
    </x:row>
    <x:row r="153">
      <x:c r="A153" t="n">
        <x:v>44895</x:v>
      </x:c>
      <x:c r="B153" t="n">
        <x:v>2022</x:v>
      </x:c>
      <x:c r="C153" t="str">
        <x:v>Nov</x:v>
      </x:c>
      <x:c r="D153" t="n">
        <x:v>11</x:v>
      </x:c>
      <x:c r="E153" t="n">
        <x:v>0</x:v>
      </x:c>
      <x:c r="F153" t="n">
        <x:f>E153/100</x:f>
        <x:v>0</x:v>
      </x:c>
      <x:c r="G153" t="n">
        <x:f>G152*(1+F153)</x:f>
        <x:v>1505.5872527768342</x:v>
      </x:c>
      <x:c r="H153" t="n">
        <x:f>G153/MAX($G$2:G153)-1</x:f>
        <x:v>-0.1156836526473588</x:v>
      </x:c>
    </x:row>
    <x:row r="154">
      <x:c r="A154" t="n">
        <x:v>44926</x:v>
      </x:c>
      <x:c r="B154" t="n">
        <x:v>2022</x:v>
      </x:c>
      <x:c r="C154" t="str">
        <x:v>Dic</x:v>
      </x:c>
      <x:c r="D154" t="n">
        <x:v>12</x:v>
      </x:c>
      <x:c r="E154" t="n">
        <x:v>-0.4</x:v>
      </x:c>
      <x:c r="F154" t="n">
        <x:f>E154/100</x:f>
        <x:v>-0.004</x:v>
      </x:c>
      <x:c r="G154" t="n">
        <x:f>G153*(1+F154)</x:f>
        <x:v>1499.564903765727</x:v>
      </x:c>
      <x:c r="H154" t="n">
        <x:f>G154/MAX($G$2:G154)-1</x:f>
        <x:v>-0.11922091803676937</x:v>
      </x:c>
    </x:row>
    <x:row r="155">
      <x:c r="A155" t="n">
        <x:v>44957</x:v>
      </x:c>
      <x:c r="B155" t="n">
        <x:v>2023</x:v>
      </x:c>
      <x:c r="C155" t="str">
        <x:v>Gen</x:v>
      </x:c>
      <x:c r="D155" t="n">
        <x:v>1</x:v>
      </x:c>
      <x:c r="E155" t="n">
        <x:v>1.2</x:v>
      </x:c>
      <x:c r="F155" t="n">
        <x:f>E155/100</x:f>
        <x:v>0.012</x:v>
      </x:c>
      <x:c r="G155" t="n">
        <x:f>G154*(1+F155)</x:f>
        <x:v>1517.5596826109156</x:v>
      </x:c>
      <x:c r="H155" t="n">
        <x:f>G155/MAX($G$2:G155)-1</x:f>
        <x:v>-0.1086515690532106</x:v>
      </x:c>
    </x:row>
    <x:row r="156">
      <x:c r="A156" t="n">
        <x:v>44985</x:v>
      </x:c>
      <x:c r="B156" t="n">
        <x:v>2023</x:v>
      </x:c>
      <x:c r="C156" t="str">
        <x:v>Feb</x:v>
      </x:c>
      <x:c r="D156" t="n">
        <x:v>2</x:v>
      </x:c>
      <x:c r="E156" t="n">
        <x:v>-1.4</x:v>
      </x:c>
      <x:c r="F156" t="n">
        <x:f>E156/100</x:f>
        <x:v>-0.013999999999999999</x:v>
      </x:c>
      <x:c r="G156" t="n">
        <x:f>G155*(1+F156)</x:f>
        <x:v>1496.3138470543627</x:v>
      </x:c>
      <x:c r="H156" t="n">
        <x:f>G156/MAX($G$2:G156)-1</x:f>
        <x:v>-0.1211304470864657</x:v>
      </x:c>
    </x:row>
    <x:row r="157">
      <x:c r="A157" t="n">
        <x:v>45016</x:v>
      </x:c>
      <x:c r="B157" t="n">
        <x:v>2023</x:v>
      </x:c>
      <x:c r="C157" t="str">
        <x:v>Mar</x:v>
      </x:c>
      <x:c r="D157" t="n">
        <x:v>3</x:v>
      </x:c>
      <x:c r="E157" t="n">
        <x:v>2.7</x:v>
      </x:c>
      <x:c r="F157" t="n">
        <x:f>E157/100</x:f>
        <x:v>0.027000000000000003</x:v>
      </x:c>
      <x:c r="G157" t="n">
        <x:f>G156*(1+F157)</x:f>
        <x:v>1536.7143209248304</x:v>
      </x:c>
      <x:c r="H157" t="n">
        <x:f>G157/MAX($G$2:G157)-1</x:f>
        <x:v>-0.09740096915780039</x:v>
      </x:c>
    </x:row>
    <x:row r="158">
      <x:c r="A158" t="n">
        <x:v>45046</x:v>
      </x:c>
      <x:c r="B158" t="n">
        <x:v>2023</x:v>
      </x:c>
      <x:c r="C158" t="str">
        <x:v>Apr</x:v>
      </x:c>
      <x:c r="D158" t="n">
        <x:v>4</x:v>
      </x:c>
      <x:c r="E158" t="n">
        <x:v>0.1</x:v>
      </x:c>
      <x:c r="F158" t="n">
        <x:f>E158/100</x:f>
        <x:v>0.001</x:v>
      </x:c>
      <x:c r="G158" t="n">
        <x:f>G157*(1+F158)</x:f>
        <x:v>1538.251035245755</x:v>
      </x:c>
      <x:c r="H158" t="n">
        <x:f>G158/MAX($G$2:G158)-1</x:f>
        <x:v>-0.09649837012695828</x:v>
      </x:c>
    </x:row>
    <x:row r="159">
      <x:c r="A159" t="n">
        <x:v>45077</x:v>
      </x:c>
      <x:c r="B159" t="n">
        <x:v>2023</x:v>
      </x:c>
      <x:c r="C159" t="str">
        <x:v>Mag</x:v>
      </x:c>
      <x:c r="D159" t="n">
        <x:v>5</x:v>
      </x:c>
      <x:c r="E159" t="n">
        <x:v>2.4</x:v>
      </x:c>
      <x:c r="F159" t="n">
        <x:f>E159/100</x:f>
        <x:v>0.024</x:v>
      </x:c>
      <x:c r="G159" t="n">
        <x:f>G158*(1+F159)</x:f>
        <x:v>1575.1690600916531</x:v>
      </x:c>
      <x:c r="H159" t="n">
        <x:f>G159/MAX($G$2:G159)-1</x:f>
        <x:v>-0.07481433101000523</x:v>
      </x:c>
    </x:row>
    <x:row r="160">
      <x:c r="A160" t="n">
        <x:v>45107</x:v>
      </x:c>
      <x:c r="B160" t="n">
        <x:v>2023</x:v>
      </x:c>
      <x:c r="C160" t="str">
        <x:v>Giu</x:v>
      </x:c>
      <x:c r="D160" t="n">
        <x:v>6</x:v>
      </x:c>
      <x:c r="E160" t="n">
        <x:v>1.1</x:v>
      </x:c>
      <x:c r="F160" t="n">
        <x:f>E160/100</x:f>
        <x:v>0.011000000000000001</x:v>
      </x:c>
      <x:c r="G160" t="n">
        <x:f>G159*(1+F160)</x:f>
        <x:v>1592.4959197526612</x:v>
      </x:c>
      <x:c r="H160" t="n">
        <x:f>G160/MAX($G$2:G160)-1</x:f>
        <x:v>-0.0646372886511154</x:v>
      </x:c>
    </x:row>
    <x:row r="161">
      <x:c r="A161" t="n">
        <x:v>45138</x:v>
      </x:c>
      <x:c r="B161" t="n">
        <x:v>2023</x:v>
      </x:c>
      <x:c r="C161" t="str">
        <x:v>Lug</x:v>
      </x:c>
      <x:c r="D161" t="n">
        <x:v>7</x:v>
      </x:c>
      <x:c r="E161" t="n">
        <x:v>2.4</x:v>
      </x:c>
      <x:c r="F161" t="n">
        <x:f>E161/100</x:f>
        <x:v>0.024</x:v>
      </x:c>
      <x:c r="G161" t="n">
        <x:f>G160*(1+F161)</x:f>
        <x:v>1630.715821826725</x:v>
      </x:c>
      <x:c r="H161" t="n">
        <x:f>G161/MAX($G$2:G161)-1</x:f>
        <x:v>-0.04218858357874222</x:v>
      </x:c>
    </x:row>
    <x:row r="162">
      <x:c r="A162" t="n">
        <x:v>45169</x:v>
      </x:c>
      <x:c r="B162" t="n">
        <x:v>2023</x:v>
      </x:c>
      <x:c r="C162" t="str">
        <x:v>Ago</x:v>
      </x:c>
      <x:c r="D162" t="n">
        <x:v>8</x:v>
      </x:c>
      <x:c r="E162" t="n">
        <x:v>-0.3</x:v>
      </x:c>
      <x:c r="F162" t="n">
        <x:f>E162/100</x:f>
        <x:v>-0.003</x:v>
      </x:c>
      <x:c r="G162" t="n">
        <x:f>G161*(1+F162)</x:f>
        <x:v>1625.823674361245</x:v>
      </x:c>
      <x:c r="H162" t="n">
        <x:f>G162/MAX($G$2:G162)-1</x:f>
        <x:v>-0.045062017828005896</x:v>
      </x:c>
    </x:row>
    <x:row r="163">
      <x:c r="A163" t="n">
        <x:v>45199</x:v>
      </x:c>
      <x:c r="B163" t="n">
        <x:v>2023</x:v>
      </x:c>
      <x:c r="C163" t="str">
        <x:v>Set</x:v>
      </x:c>
      <x:c r="D163" t="n">
        <x:v>9</x:v>
      </x:c>
      <x:c r="E163" t="n">
        <x:v>-1.7</x:v>
      </x:c>
      <x:c r="F163" t="n">
        <x:f>E163/100</x:f>
        <x:v>-0.017</x:v>
      </x:c>
      <x:c r="G163" t="n">
        <x:f>G162*(1+F163)</x:f>
        <x:v>1598.1846718971037</x:v>
      </x:c>
      <x:c r="H163" t="n">
        <x:f>G163/MAX($G$2:G163)-1</x:f>
        <x:v>-0.06129596352492983</x:v>
      </x:c>
    </x:row>
    <x:row r="164">
      <x:c r="A164" t="n">
        <x:v>45230</x:v>
      </x:c>
      <x:c r="B164" t="n">
        <x:v>2023</x:v>
      </x:c>
      <x:c r="C164" t="str">
        <x:v>Ott</x:v>
      </x:c>
      <x:c r="D164" t="n">
        <x:v>10</x:v>
      </x:c>
      <x:c r="E164" t="n">
        <x:v>-0.3</x:v>
      </x:c>
      <x:c r="F164" t="n">
        <x:f>E164/100</x:f>
        <x:v>-0.003</x:v>
      </x:c>
      <x:c r="G164" t="n">
        <x:f>G163*(1+F164)</x:f>
        <x:v>1593.3901178814124</x:v>
      </x:c>
      <x:c r="H164" t="n">
        <x:f>G164/MAX($G$2:G164)-1</x:f>
        <x:v>-0.06411207563435506</x:v>
      </x:c>
    </x:row>
    <x:row r="165">
      <x:c r="A165" t="n">
        <x:v>45260</x:v>
      </x:c>
      <x:c r="B165" t="n">
        <x:v>2023</x:v>
      </x:c>
      <x:c r="C165" t="str">
        <x:v>Nov</x:v>
      </x:c>
      <x:c r="D165" t="n">
        <x:v>11</x:v>
      </x:c>
      <x:c r="E165" t="n">
        <x:v>3.8</x:v>
      </x:c>
      <x:c r="F165" t="n">
        <x:f>E165/100</x:f>
        <x:v>0.038</x:v>
      </x:c>
      <x:c r="G165" t="n">
        <x:f>G164*(1+F165)</x:f>
        <x:v>1653.9389423609061</x:v>
      </x:c>
      <x:c r="H165" t="n">
        <x:f>G165/MAX($G$2:G165)-1</x:f>
        <x:v>-0.028548334508460504</x:v>
      </x:c>
    </x:row>
    <x:row r="166">
      <x:c r="A166" t="n">
        <x:v>45291</x:v>
      </x:c>
      <x:c r="B166" t="n">
        <x:v>2023</x:v>
      </x:c>
      <x:c r="C166" t="str">
        <x:v>Dic</x:v>
      </x:c>
      <x:c r="D166" t="n">
        <x:v>12</x:v>
      </x:c>
      <x:c r="E166" t="n">
        <x:v>1.3</x:v>
      </x:c>
      <x:c r="F166" t="n">
        <x:f>E166/100</x:f>
        <x:v>0.013000000000000001</x:v>
      </x:c>
      <x:c r="G166" t="n">
        <x:f>G165*(1+F166)</x:f>
        <x:v>1675.4401486115978</x:v>
      </x:c>
      <x:c r="H166" t="n">
        <x:f>G166/MAX($G$2:G166)-1</x:f>
        <x:v>-0.015919462857070577</x:v>
      </x:c>
    </x:row>
    <x:row r="167">
      <x:c r="A167" t="n">
        <x:v>45322</x:v>
      </x:c>
      <x:c r="B167" t="n">
        <x:v>2024</x:v>
      </x:c>
      <x:c r="C167" t="str">
        <x:v>Gen</x:v>
      </x:c>
      <x:c r="D167" t="n">
        <x:v>1</x:v>
      </x:c>
      <x:c r="E167" t="n">
        <x:v>2.5</x:v>
      </x:c>
      <x:c r="F167" t="n">
        <x:f>E167/100</x:f>
        <x:v>0.025</x:v>
      </x:c>
      <x:c r="G167" t="n">
        <x:f>G166*(1+F167)</x:f>
        <x:v>1717.3261523268875</x:v>
      </x:c>
      <x:c r="H167" t="n">
        <x:f>G167/MAX($G$2:G167)-1</x:f>
        <x:v>0</x:v>
      </x:c>
    </x:row>
    <x:row r="168">
      <x:c r="A168" t="n">
        <x:v>45351</x:v>
      </x:c>
      <x:c r="B168" t="n">
        <x:v>2024</x:v>
      </x:c>
      <x:c r="C168" t="str">
        <x:v>Feb</x:v>
      </x:c>
      <x:c r="D168" t="n">
        <x:v>2</x:v>
      </x:c>
      <x:c r="E168" t="n">
        <x:v>3.4</x:v>
      </x:c>
      <x:c r="F168" t="n">
        <x:f>E168/100</x:f>
        <x:v>0.034</x:v>
      </x:c>
      <x:c r="G168" t="n">
        <x:f>G167*(1+F168)</x:f>
        <x:v>1775.7152415060018</x:v>
      </x:c>
      <x:c r="H168" t="n">
        <x:f>G168/MAX($G$2:G168)-1</x:f>
        <x:v>0</x:v>
      </x:c>
    </x:row>
    <x:row r="169">
      <x:c r="A169" t="n">
        <x:v>45382</x:v>
      </x:c>
      <x:c r="B169" t="n">
        <x:v>2024</x:v>
      </x:c>
      <x:c r="C169" t="str">
        <x:v>Mar</x:v>
      </x:c>
      <x:c r="D169" t="n">
        <x:v>3</x:v>
      </x:c>
      <x:c r="E169" t="n">
        <x:v>1.7</x:v>
      </x:c>
      <x:c r="F169" t="n">
        <x:f>E169/100</x:f>
        <x:v>0.017</x:v>
      </x:c>
      <x:c r="G169" t="n">
        <x:f>G168*(1+F169)</x:f>
        <x:v>1805.9024006116038</x:v>
      </x:c>
      <x:c r="H169" t="n">
        <x:f>G169/MAX($G$2:G169)-1</x:f>
        <x:v>0</x:v>
      </x:c>
    </x:row>
    <x:row r="170">
      <x:c r="A170" t="n">
        <x:v>45412</x:v>
      </x:c>
      <x:c r="B170" t="n">
        <x:v>2024</x:v>
      </x:c>
      <x:c r="C170" t="str">
        <x:v>Apr</x:v>
      </x:c>
      <x:c r="D170" t="n">
        <x:v>4</x:v>
      </x:c>
      <x:c r="E170" t="n">
        <x:v>-0.3</x:v>
      </x:c>
      <x:c r="F170" t="n">
        <x:f>E170/100</x:f>
        <x:v>-0.003</x:v>
      </x:c>
      <x:c r="G170" t="n">
        <x:f>G169*(1+F170)</x:f>
        <x:v>1800.4846934097689</x:v>
      </x:c>
      <x:c r="H170" t="n">
        <x:f>G170/MAX($G$2:G170)-1</x:f>
        <x:v>-0.0030000000000000027</x:v>
      </x:c>
    </x:row>
    <x:row r="171">
      <x:c r="A171" t="n">
        <x:v>45443</x:v>
      </x:c>
      <x:c r="B171" t="n">
        <x:v>2024</x:v>
      </x:c>
      <x:c r="C171" t="str">
        <x:v>Mag</x:v>
      </x:c>
      <x:c r="D171" t="n">
        <x:v>5</x:v>
      </x:c>
      <x:c r="E171" t="n">
        <x:v>1.8</x:v>
      </x:c>
      <x:c r="F171" t="n">
        <x:f>E171/100</x:f>
        <x:v>0.018000000000000002</x:v>
      </x:c>
      <x:c r="G171" t="n">
        <x:f>G170*(1+F171)</x:f>
        <x:v>1832.8934178911447</x:v>
      </x:c>
      <x:c r="H171" t="n">
        <x:f>G171/MAX($G$2:G171)-1</x:f>
        <x:v>0</x:v>
      </x:c>
    </x:row>
    <x:row r="172">
      <x:c r="A172" t="n">
        <x:v>45473</x:v>
      </x:c>
      <x:c r="B172" t="n">
        <x:v>2024</x:v>
      </x:c>
      <x:c r="C172" t="str">
        <x:v>Giu</x:v>
      </x:c>
      <x:c r="D172" t="n">
        <x:v>6</x:v>
      </x:c>
      <x:c r="E172" t="n">
        <x:v>1.8</x:v>
      </x:c>
      <x:c r="F172" t="n">
        <x:f>E172/100</x:f>
        <x:v>0.018000000000000002</x:v>
      </x:c>
      <x:c r="G172" t="n">
        <x:f>G171*(1+F172)</x:f>
        <x:v>1865.8854994131855</x:v>
      </x:c>
      <x:c r="H172" t="n">
        <x:f>G172/MAX($G$2:G172)-1</x:f>
        <x:v>0</x:v>
      </x:c>
    </x:row>
    <x:row r="173">
      <x:c r="A173" t="n">
        <x:v>45504</x:v>
      </x:c>
      <x:c r="B173" t="n">
        <x:v>2024</x:v>
      </x:c>
      <x:c r="C173" t="str">
        <x:v>Lug</x:v>
      </x:c>
      <x:c r="D173" t="n">
        <x:v>7</x:v>
      </x:c>
      <x:c r="E173" t="n">
        <x:v>-1.1</x:v>
      </x:c>
      <x:c r="F173" t="n">
        <x:f>E173/100</x:f>
        <x:v>-0.011000000000000001</x:v>
      </x:c>
      <x:c r="G173" t="n">
        <x:f>G172*(1+F173)</x:f>
        <x:v>1845.3607589196404</x:v>
      </x:c>
      <x:c r="H173" t="n">
        <x:f>G173/MAX($G$2:G173)-1</x:f>
        <x:v>-0.01100000000000001</x:v>
      </x:c>
    </x:row>
    <x:row r="174">
      <x:c r="A174" t="n">
        <x:v>45535</x:v>
      </x:c>
      <x:c r="B174" t="n">
        <x:v>2024</x:v>
      </x:c>
      <x:c r="C174" t="str">
        <x:v>Ago</x:v>
      </x:c>
      <x:c r="D174" t="n">
        <x:v>8</x:v>
      </x:c>
      <x:c r="E174" t="n">
        <x:v>0.3</x:v>
      </x:c>
      <x:c r="F174" t="n">
        <x:f>E174/100</x:f>
        <x:v>0.003</x:v>
      </x:c>
      <x:c r="G174" t="n">
        <x:f>G173*(1+F174)</x:f>
        <x:v>1850.896841196399</x:v>
      </x:c>
      <x:c r="H174" t="n">
        <x:f>G174/MAX($G$2:G174)-1</x:f>
        <x:v>-0.008033000000000179</x:v>
      </x:c>
    </x:row>
    <x:row r="175">
      <x:c r="A175" t="n">
        <x:v>45565</x:v>
      </x:c>
      <x:c r="B175" t="n">
        <x:v>2024</x:v>
      </x:c>
      <x:c r="C175" t="str">
        <x:v>Set</x:v>
      </x:c>
      <x:c r="D175" t="n">
        <x:v>9</x:v>
      </x:c>
      <x:c r="E175" t="n">
        <x:v>0.3</x:v>
      </x:c>
      <x:c r="F175" t="n">
        <x:f>E175/100</x:f>
        <x:v>0.003</x:v>
      </x:c>
      <x:c r="G175" t="n">
        <x:f>G174*(1+F175)</x:f>
        <x:v>1856.449531719988</x:v>
      </x:c>
      <x:c r="H175" t="n">
        <x:f>G175/MAX($G$2:G175)-1</x:f>
        <x:v>-0.005057099000000287</x:v>
      </x:c>
    </x:row>
    <x:row r="176">
      <x:c r="A176" t="n">
        <x:v>45596</x:v>
      </x:c>
      <x:c r="B176" t="n">
        <x:v>2024</x:v>
      </x:c>
      <x:c r="C176" t="str">
        <x:v>Ott</x:v>
      </x:c>
      <x:c r="D176" t="n">
        <x:v>10</x:v>
      </x:c>
      <x:c r="E176" t="n">
        <x:v>0.2</x:v>
      </x:c>
      <x:c r="F176" t="n">
        <x:f>E176/100</x:f>
        <x:v>0.002</x:v>
      </x:c>
      <x:c r="G176" t="n">
        <x:f>G175*(1+F176)</x:f>
        <x:v>1860.1624307834281</x:v>
      </x:c>
      <x:c r="H176" t="n">
        <x:f>G176/MAX($G$2:G176)-1</x:f>
        <x:v>-0.003067213198000185</x:v>
      </x:c>
    </x:row>
    <x:row r="177">
      <x:c r="A177" t="n">
        <x:v>45626</x:v>
      </x:c>
      <x:c r="B177" t="n">
        <x:v>2024</x:v>
      </x:c>
      <x:c r="C177" t="str">
        <x:v>Nov</x:v>
      </x:c>
      <x:c r="D177" t="n">
        <x:v>11</x:v>
      </x:c>
      <x:c r="E177" t="n">
        <x:v>0.2</x:v>
      </x:c>
      <x:c r="F177" t="n">
        <x:f>E177/100</x:f>
        <x:v>0.002</x:v>
      </x:c>
      <x:c r="G177" t="n">
        <x:f>G176*(1+F177)</x:f>
        <x:v>1863.882755644995</x:v>
      </x:c>
      <x:c r="H177" t="n">
        <x:f>G177/MAX($G$2:G177)-1</x:f>
        <x:v>-0.0010733476243961482</x:v>
      </x:c>
    </x:row>
    <x:row r="178">
      <x:c r="A178" t="n">
        <x:v>45657</x:v>
      </x:c>
      <x:c r="B178" t="n">
        <x:v>2024</x:v>
      </x:c>
      <x:c r="C178" t="str">
        <x:v>Dic</x:v>
      </x:c>
      <x:c r="D178" t="n">
        <x:v>12</x:v>
      </x:c>
      <x:c r="E178" t="n">
        <x:v>0.2</x:v>
      </x:c>
      <x:c r="F178" t="n">
        <x:f>E178/100</x:f>
        <x:v>0.002</x:v>
      </x:c>
      <x:c r="G178" t="n">
        <x:f>G177*(1+F178)</x:f>
        <x:v>1867.6105211562851</x:v>
      </x:c>
      <x:c r="H178" t="n">
        <x:f>G178/MAX($G$2:G178)-1</x:f>
        <x:v>0</x:v>
      </x:c>
    </x:row>
    <x:row r="179">
      <x:c r="A179" t="n">
        <x:v>45688</x:v>
      </x:c>
      <x:c r="B179" t="n">
        <x:v>2025</x:v>
      </x:c>
      <x:c r="C179" t="str">
        <x:v>Gen</x:v>
      </x:c>
      <x:c r="D179" t="n">
        <x:v>1</x:v>
      </x:c>
      <x:c r="E179" t="n">
        <x:v>1.4</x:v>
      </x:c>
      <x:c r="F179" t="n">
        <x:f>E179/100</x:f>
        <x:v>0.013999999999999999</x:v>
      </x:c>
      <x:c r="G179" t="n">
        <x:f>G178*(1+F179)</x:f>
        <x:v>1893.757068452473</x:v>
      </x:c>
      <x:c r="H179" t="n">
        <x:f>G179/MAX($G$2:G179)-1</x:f>
        <x:v>0</x:v>
      </x:c>
    </x:row>
    <x:row r="180">
      <x:c r="A180" t="n">
        <x:v>45716</x:v>
      </x:c>
      <x:c r="B180" t="n">
        <x:v>2025</x:v>
      </x:c>
      <x:c r="C180" t="str">
        <x:v>Feb</x:v>
      </x:c>
      <x:c r="D180" t="n">
        <x:v>2</x:v>
      </x:c>
      <x:c r="E180" t="n">
        <x:v>-0.9</x:v>
      </x:c>
      <x:c r="F180" t="n">
        <x:f>E180/100</x:f>
        <x:v>-0.009000000000000001</x:v>
      </x:c>
      <x:c r="G180" t="n">
        <x:f>G179*(1+F180)</x:f>
        <x:v>1876.7132548364007</x:v>
      </x:c>
      <x:c r="H180" t="n">
        <x:f>G180/MAX($G$2:G180)-1</x:f>
        <x:v>-0.009000000000000119</x:v>
      </x:c>
    </x:row>
    <x:row r="181">
      <x:c r="A181" t="n">
        <x:v>45747</x:v>
      </x:c>
      <x:c r="B181" t="n">
        <x:v>2025</x:v>
      </x:c>
      <x:c r="C181" t="str">
        <x:v>Mar</x:v>
      </x:c>
      <x:c r="D181" t="n">
        <x:v>3</x:v>
      </x:c>
      <x:c r="E181" t="n">
        <x:v>-1.8</x:v>
      </x:c>
      <x:c r="F181" t="n">
        <x:f>E181/100</x:f>
        <x:v>-0.018000000000000002</x:v>
      </x:c>
      <x:c r="G181" t="n">
        <x:f>G180*(1+F181)</x:f>
        <x:v>1842.9324162493454</x:v>
      </x:c>
      <x:c r="H181" t="n">
        <x:f>G181/MAX($G$2:G181)-1</x:f>
        <x:v>-0.02683800000000014</x:v>
      </x:c>
    </x:row>
    <x:row r="182">
      <x:c r="A182" t="n">
        <x:v>45777</x:v>
      </x:c>
      <x:c r="B182" t="n">
        <x:v>2025</x:v>
      </x:c>
      <x:c r="C182" t="str">
        <x:v>Apr</x:v>
      </x:c>
      <x:c r="D182" t="n">
        <x:v>4</x:v>
      </x:c>
      <x:c r="E182" t="n">
        <x:v>0.1</x:v>
      </x:c>
      <x:c r="F182" t="n">
        <x:f>E182/100</x:f>
        <x:v>0.001</x:v>
      </x:c>
      <x:c r="G182" t="n">
        <x:f>G181*(1+F182)</x:f>
        <x:v>1844.7753486655945</x:v>
      </x:c>
      <x:c r="H182" t="n">
        <x:f>G182/MAX($G$2:G182)-1</x:f>
        <x:v>-0.02586483800000028</x:v>
      </x:c>
    </x:row>
    <x:row r="183">
      <x:c r="A183" t="n">
        <x:v>45808</x:v>
      </x:c>
      <x:c r="B183" t="n">
        <x:v>2025</x:v>
      </x:c>
      <x:c r="C183" t="str">
        <x:v>Mag</x:v>
      </x:c>
      <x:c r="D183" t="n">
        <x:v>5</x:v>
      </x:c>
      <x:c r="E183" t="n">
        <x:v>2.6</x:v>
      </x:c>
      <x:c r="F183" t="n">
        <x:f>E183/100</x:f>
        <x:v>0.026000000000000002</x:v>
      </x:c>
      <x:c r="G183" t="n">
        <x:f>G182*(1+F183)</x:f>
        <x:v>1892.7395077309</x:v>
      </x:c>
      <x:c r="H183" t="n">
        <x:f>G183/MAX($G$2:G183)-1</x:f>
        <x:v>-0.0005373237880001991</x:v>
      </x:c>
    </x:row>
    <x:row r="184">
      <x:c r="A184" t="n">
        <x:v>45838</x:v>
      </x:c>
      <x:c r="B184" t="n">
        <x:v>2025</x:v>
      </x:c>
      <x:c r="C184" t="str">
        <x:v>Giu</x:v>
      </x:c>
      <x:c r="D184" t="n">
        <x:v>6</x:v>
      </x:c>
      <x:c r="E184" t="n">
        <x:v>1.2</x:v>
      </x:c>
      <x:c r="F184" t="n">
        <x:f>E184/100</x:f>
        <x:v>0.012</x:v>
      </x:c>
      <x:c r="G184" t="n">
        <x:f>G183*(1+F184)</x:f>
        <x:v>1915.4523818236707</x:v>
      </x:c>
      <x:c r="H184" t="n">
        <x:f>G184/MAX($G$2:G184)-1</x:f>
        <x:v>0</x:v>
      </x:c>
    </x:row>
    <x:row r="185">
      <x:c r="A185" t="n">
        <x:v>45869</x:v>
      </x:c>
      <x:c r="B185" t="n">
        <x:v>2025</x:v>
      </x:c>
      <x:c r="C185" t="str">
        <x:v>Lug</x:v>
      </x:c>
      <x:c r="D185" t="n">
        <x:v>7</x:v>
      </x:c>
      <x:c r="E185" t="n">
        <x:v>1.2</x:v>
      </x:c>
      <x:c r="F185" t="n">
        <x:f>E185/100</x:f>
        <x:v>0.012</x:v>
      </x:c>
      <x:c r="G185" t="n">
        <x:f>G184*(1+F185)</x:f>
        <x:v>1938.4378104055547</x:v>
      </x:c>
      <x:c r="H185" t="n">
        <x:f>G185/MAX($G$2:G185)-1</x:f>
        <x:v>0</x:v>
      </x:c>
    </x:row>
    <x:row r="186">
      <x:c r="A186" t="n">
        <x:v>45900</x:v>
      </x:c>
      <x:c r="B186" t="n">
        <x:v>2025</x:v>
      </x:c>
      <x:c r="C186" t="str">
        <x:v>Ago</x:v>
      </x:c>
      <x:c r="D186" t="n">
        <x:v>8</x:v>
      </x:c>
      <x:c r="E186" t="n">
        <x:v>-0.3</x:v>
      </x:c>
      <x:c r="F186" t="n">
        <x:f>E186/100</x:f>
        <x:v>-0.003</x:v>
      </x:c>
      <x:c r="G186" t="n">
        <x:f>G185*(1+F186)</x:f>
        <x:v>1932.622496974338</x:v>
      </x:c>
      <x:c r="H186" t="n">
        <x:f>G186/MAX($G$2:G186)-1</x:f>
        <x:v>-0.0030000000000000027</x:v>
      </x:c>
    </x:row>
    <x:row r="187">
      <x:c r="A187" t="n">
        <x:v>45930</x:v>
      </x:c>
      <x:c r="B187" t="n">
        <x:v>2025</x:v>
      </x:c>
      <x:c r="C187" t="str">
        <x:v>Set</x:v>
      </x:c>
      <x:c r="D187" t="n">
        <x:v>9</x:v>
      </x:c>
      <x:c r="E187" t="n">
        <x:v>1.4</x:v>
      </x:c>
      <x:c r="F187" t="n">
        <x:f>E187/100</x:f>
        <x:v>0.013999999999999999</x:v>
      </x:c>
      <x:c r="G187" t="n">
        <x:f>G186*(1+F187)</x:f>
        <x:v>1959.6792119319787</x:v>
      </x:c>
      <x:c r="H187" t="n">
        <x:f>G187/MAX($G$2:G187)-1</x:f>
        <x:v>0</x:v>
      </x:c>
    </x:row>
    <x:row r="188">
      <x:c r="A188" t="n">
        <x:v>45961</x:v>
      </x:c>
      <x:c r="B188" t="n">
        <x:v>2025</x:v>
      </x:c>
      <x:c r="C188" t="str">
        <x:v>Ott</x:v>
      </x:c>
      <x:c r="D188" t="n">
        <x:v>10</x:v>
      </x:c>
      <x:c r="E188" t="n">
        <x:v>2</x:v>
      </x:c>
      <x:c r="F188" t="n">
        <x:f>E188/100</x:f>
        <x:v>0.02</x:v>
      </x:c>
      <x:c r="G188" t="n">
        <x:f>G187*(1+F188)</x:f>
        <x:v>1998.8727961706184</x:v>
      </x:c>
      <x:c r="H188" t="n">
        <x:f>G188/MAX($G$2:G188)-1</x:f>
        <x:v>0</x:v>
      </x:c>
    </x:row>
    <x:row r="189">
      <x:c r="A189" t="n">
        <x:v>45991</x:v>
      </x:c>
      <x:c r="B189" t="n">
        <x:v>2025</x:v>
      </x:c>
      <x:c r="C189" t="str">
        <x:v>Nov</x:v>
      </x:c>
      <x:c r="D189" t="n">
        <x:v>11</x:v>
      </x:c>
      <x:c r="E189" t="n">
        <x:v>-1.3</x:v>
      </x:c>
      <x:c r="F189" t="n">
        <x:f>E189/100</x:f>
        <x:v>-0.013000000000000001</x:v>
      </x:c>
      <x:c r="G189" t="n">
        <x:f>G188*(1+F189)</x:f>
        <x:v>1972.8874498204002</x:v>
      </x:c>
      <x:c r="H189" t="n">
        <x:f>G189/MAX($G$2:G189)-1</x:f>
        <x:v>-0.013000000000000012</x:v>
      </x:c>
    </x:row>
    <x:row r="190">
      <x:c r="A190" t="n">
        <x:v>46022</x:v>
      </x:c>
      <x:c r="B190" t="n">
        <x:v>2025</x:v>
      </x:c>
      <x:c r="C190" t="str">
        <x:v>Dic</x:v>
      </x:c>
      <x:c r="D190" t="n">
        <x:v>12</x:v>
      </x:c>
      <x:c r="E190" t="n">
        <x:v>0.1</x:v>
      </x:c>
      <x:c r="F190" t="n">
        <x:f>E190/100</x:f>
        <x:v>0.001</x:v>
      </x:c>
      <x:c r="G190" t="n">
        <x:f>G189*(1+F190)</x:f>
        <x:v>1974.8603372702205</x:v>
      </x:c>
      <x:c r="H190" t="n">
        <x:f>G190/MAX($G$2:G190)-1</x:f>
        <x:v>-0.012013000000000162</x:v>
      </x:c>
    </x:row>
    <x:row r="191">
      <x:c r="A191" t="n">
        <x:v>46053</x:v>
      </x:c>
      <x:c r="B191" t="n">
        <x:v>2026</x:v>
      </x:c>
      <x:c r="C191" t="str">
        <x:v>Gen</x:v>
      </x:c>
      <x:c r="D191" t="n">
        <x:v>1</x:v>
      </x:c>
      <x:c r="E191" t="n">
        <x:v>4.5</x:v>
      </x:c>
      <x:c r="F191" t="n">
        <x:f>E191/100</x:f>
        <x:v>0.045</x:v>
      </x:c>
      <x:c r="G191" t="n">
        <x:f>G190*(1+F191)</x:f>
        <x:v>2063.72905244738</x:v>
      </x:c>
      <x:c r="H191" t="n">
        <x:f>G191/MAX($G$2:G191)-1</x:f>
        <x:v>0</x:v>
      </x:c>
    </x:row>
    <x:row r="192">
      <x:c r="A192" t="n">
        <x:v>46081</x:v>
      </x:c>
      <x:c r="B192" t="n">
        <x:v>2026</x:v>
      </x:c>
      <x:c r="C192" t="str">
        <x:v>Feb</x:v>
      </x:c>
      <x:c r="D192" t="n">
        <x:v>2</x:v>
      </x:c>
      <x:c r="E192" t="n">
        <x:v>-0.3</x:v>
      </x:c>
      <x:c r="F192" t="n">
        <x:f>E192/100</x:f>
        <x:v>-0.003</x:v>
      </x:c>
      <x:c r="G192" t="n">
        <x:f>G191*(1+F192)</x:f>
        <x:v>2057.537865290038</x:v>
      </x:c>
      <x:c r="H192" t="n">
        <x:f>G192/MAX($G$2:G192)-1</x:f>
        <x:v>-0.0029999999999998916</x:v>
      </x:c>
    </x:row>
    <x:row r="193">
      <x:c r="A193" t="n">
        <x:v>46112</x:v>
      </x:c>
      <x:c r="B193" t="n">
        <x:v>2026</x:v>
      </x:c>
      <x:c r="C193" t="str">
        <x:v>Mar</x:v>
      </x:c>
      <x:c r="D193" t="n">
        <x:v>3</x:v>
      </x:c>
      <x:c r="E193" t="n">
        <x:v>-3.1</x:v>
      </x:c>
      <x:c r="F193" t="n">
        <x:f>E193/100</x:f>
        <x:v>-0.031</x:v>
      </x:c>
      <x:c r="G193" t="n">
        <x:f>G192*(1+F193)</x:f>
        <x:v>1993.754191466047</x:v>
      </x:c>
      <x:c r="H193" t="n">
        <x:f>G193/MAX($G$2:G193)-1</x:f>
        <x:v>-0.03390699999999991</x:v>
      </x:c>
    </x:row>
    <x:row r="194">
      <x:c r="A194" t="n">
        <x:v>46142</x:v>
      </x:c>
      <x:c r="B194" t="n">
        <x:v>2026</x:v>
      </x:c>
      <x:c r="C194" t="str">
        <x:v>Apr</x:v>
      </x:c>
      <x:c r="D194" t="n">
        <x:v>4</x:v>
      </x:c>
      <x:c r="E194" t="n">
        <x:v>3.5</x:v>
      </x:c>
      <x:c r="F194" t="n">
        <x:f>E194/100</x:f>
        <x:v>0.035</x:v>
      </x:c>
      <x:c r="G194" t="n">
        <x:f>G193*(1+F194)</x:f>
        <x:v>2063.5355881673586</x:v>
      </x:c>
      <x:c r="H194" t="n">
        <x:f>G194/MAX($G$2:G194)-1</x:f>
        <x:v>-0.00009374499999992292</x:v>
      </x:c>
    </x:row>
    <x:row r="195">
      <x:c r="A195" t="n">
        <x:v>46173</x:v>
      </x:c>
      <x:c r="B195" t="n">
        <x:v>2026</x:v>
      </x:c>
      <x:c r="C195" t="str">
        <x:v>Mag</x:v>
      </x:c>
      <x:c r="D195" t="n">
        <x:v>5</x:v>
      </x:c>
      <x:c r="E195" t="n">
        <x:v>2</x:v>
      </x:c>
      <x:c r="F195" t="n">
        <x:f>E195/100</x:f>
        <x:v>0.02</x:v>
      </x:c>
      <x:c r="G195" t="n">
        <x:f>G194*(1+F195)</x:f>
        <x:v>2104.806299930706</x:v>
      </x:c>
      <x:c r="H195" t="n">
        <x:f>G195/MAX($G$2:G195)-1</x:f>
        <x:v>0</x:v>
      </x:c>
    </x:row>
    <x:row r="196">
      <x:c r="A196" t="n">
        <x:v>46203</x:v>
      </x:c>
      <x:c r="B196" t="n">
        <x:v>2026</x:v>
      </x:c>
      <x:c r="C196" t="str">
        <x:v>Giu</x:v>
      </x:c>
      <x:c r="D196" t="n">
        <x:v>6</x:v>
      </x:c>
      <x:c r="E196" t="n">
        <x:v>2.1</x:v>
      </x:c>
      <x:c r="F196" t="n">
        <x:f>E196/100</x:f>
        <x:v>0.021</x:v>
      </x:c>
      <x:c r="G196" t="n">
        <x:f>G195*(1+F196)</x:f>
        <x:v>2149.0072322292503</x:v>
      </x:c>
      <x:c r="H196" t="n">
        <x:f>G196/MAX($G$2:G196)-1</x:f>
        <x:v>0</x:v>
      </x:c>
    </x:row>
  </x:sheetData>
  <x:conditionalFormatting sqref="E1:E1">
    <x:cfRule type="cellIs" dxfId="0" priority="1" operator="lessThan">
      <x:formula>0</x:formula>
    </x:cfRule>
  </x:conditionalFormatting>
  <x:conditionalFormatting sqref="H1:H1">
    <x:cfRule type="cellIs" dxfId="1" priority="2" operator="lessThan">
      <x:formula>0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6178ae858e894ec2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3.9000000953674316" hidden="0" customWidth="1"/>
    <x:col min="2" max="2" width="6.329999923706055" hidden="0" customWidth="1"/>
    <x:col min="3" max="3" width="8.880000114440918" hidden="0" customWidth="1"/>
    <x:col min="4" max="4" width="9.020000457763672" hidden="0" customWidth="1"/>
    <x:col min="5" max="5" width="10.770000457763672" hidden="0" customWidth="1"/>
    <x:col min="6" max="6" width="16.290000915527344" hidden="0" customWidth="1"/>
    <x:col min="7" max="7" width="16.420000076293945" hidden="0" customWidth="1"/>
    <x:col min="8" max="8" width="12.380000114440918" hidden="0" customWidth="1"/>
    <x:col min="9" max="9" width="11.979999542236328" hidden="0" customWidth="1"/>
    <x:col min="10" max="10" width="11.84000015258789" hidden="0" customWidth="1"/>
    <x:col min="11" max="11" width="14.800000190734863" hidden="0" customWidth="1"/>
    <x:col min="12" max="12" width="16.020000457763672" hidden="0" customWidth="1"/>
    <x:col min="13" max="13" width="18.56999969482422" hidden="0" customWidth="1"/>
  </x:cols>
  <x:sheetData>
    <x:row r="1">
      <x:c r="A1" s="53" t="str">
        <x:v>Year</x:v>
      </x:c>
      <x:c r="B1" s="53" t="str">
        <x:v>Months</x:v>
      </x:c>
      <x:c r="C1" s="62" t="str">
        <x:v>PDF sum %</x:v>
      </x:c>
      <x:c r="D1" s="62" t="str">
        <x:v>Calc sum %</x:v>
      </x:c>
      <x:c r="E1" s="62" t="str">
        <x:v>Delta sum pp</x:v>
      </x:c>
      <x:c r="F1" s="62" t="str">
        <x:v>PDF compounded %</x:v>
      </x:c>
      <x:c r="G1" s="62" t="str">
        <x:v>Calc compounded %</x:v>
      </x:c>
      <x:c r="H1" s="62" t="str">
        <x:v>Delta comp. pp</x:v>
      </x:c>
      <x:c r="I1" s="62" t="str">
        <x:v>PDF vol ann. %</x:v>
      </x:c>
      <x:c r="J1" s="62" t="str">
        <x:v>PDF max DD %</x:v>
      </x:c>
      <x:c r="K1" s="62" t="str">
        <x:v>PDF best month %</x:v>
      </x:c>
      <x:c r="L1" s="62" t="str">
        <x:v>PDF worst month %</x:v>
      </x:c>
      <x:c r="M1" s="62" t="str">
        <x:v>PDF positive months %</x:v>
      </x:c>
      <x:c r="N1" s="49"/>
      <x:c r="O1" s="49"/>
      <x:c r="P1" s="49"/>
      <x:c r="Q1" s="49"/>
      <x:c r="R1" s="49"/>
      <x:c r="S1" s="49"/>
      <x:c r="T1" s="49"/>
      <x:c r="U1" s="49"/>
      <x:c r="V1" s="49"/>
      <x:c r="W1" s="49"/>
      <x:c r="X1" s="49"/>
      <x:c r="Y1" s="49"/>
      <x:c r="Z1" s="49"/>
    </x:row>
    <x:row r="2">
      <x:c r="A2" t="n">
        <x:v>2010</x:v>
      </x:c>
      <x:c r="B2" t="n">
        <x:v>9</x:v>
      </x:c>
      <x:c r="C2" t="n">
        <x:v>3.3</x:v>
      </x:c>
      <x:c r="D2" t="n">
        <x:v>3.2</x:v>
      </x:c>
      <x:c r="E2" t="n">
        <x:v>-0.09999999999999964</x:v>
      </x:c>
      <x:c r="F2" t="n">
        <x:v>3.28</x:v>
      </x:c>
      <x:c r="G2" t="n">
        <x:v>3.1724770655007006</x:v>
      </x:c>
      <x:c r="H2" t="n">
        <x:v>-0.10752293449929917</x:v>
      </x:c>
      <x:c r="I2" t="n">
        <x:v>4.64</x:v>
      </x:c>
      <x:c r="J2" t="n">
        <x:v>-1.82</x:v>
      </x:c>
      <x:c r="K2" t="n">
        <x:v>3.21</x:v>
      </x:c>
      <x:c r="L2" t="n">
        <x:v>-1.28</x:v>
      </x:c>
      <x:c r="M2" t="n">
        <x:v>55.6</x:v>
      </x:c>
    </x:row>
    <x:row r="3">
      <x:c r="A3" t="n">
        <x:v>2011</x:v>
      </x:c>
      <x:c r="B3" t="n">
        <x:v>12</x:v>
      </x:c>
      <x:c r="C3" t="n">
        <x:v>5.32</x:v>
      </x:c>
      <x:c r="D3" t="n">
        <x:v>5.3</x:v>
      </x:c>
      <x:c r="E3" t="n">
        <x:v>-0.020000000000000462</x:v>
      </x:c>
      <x:c r="F3" t="n">
        <x:v>5.31</x:v>
      </x:c>
      <x:c r="G3" t="n">
        <x:v>5.284246437309248</x:v>
      </x:c>
      <x:c r="H3" t="n">
        <x:v>-0.025753562690751686</x:v>
      </x:c>
      <x:c r="I3" t="n">
        <x:v>5.5</x:v>
      </x:c>
      <x:c r="J3" t="n">
        <x:v>-1.77</x:v>
      </x:c>
      <x:c r="K3" t="n">
        <x:v>3.48</x:v>
      </x:c>
      <x:c r="L3" t="n">
        <x:v>-1.77</x:v>
      </x:c>
      <x:c r="M3" t="n">
        <x:v>41.7</x:v>
      </x:c>
    </x:row>
    <x:row r="4">
      <x:c r="A4" t="n">
        <x:v>2012</x:v>
      </x:c>
      <x:c r="B4" t="n">
        <x:v>12</x:v>
      </x:c>
      <x:c r="C4" t="n">
        <x:v>7.96</x:v>
      </x:c>
      <x:c r="D4" t="n">
        <x:v>8.1</x:v>
      </x:c>
      <x:c r="E4" t="n">
        <x:v>0.13999999999999968</x:v>
      </x:c>
      <x:c r="F4" t="n">
        <x:v>8.21</x:v>
      </x:c>
      <x:c r="G4" t="n">
        <x:v>8.363362822124888</x:v>
      </x:c>
      <x:c r="H4" t="n">
        <x:v>0.15336282212488683</x:v>
      </x:c>
      <x:c r="I4" t="n">
        <x:v>2.99</x:v>
      </x:c>
      <x:c r="J4" t="n">
        <x:v>-0.45</x:v>
      </x:c>
      <x:c r="K4" t="n">
        <x:v>2.28</x:v>
      </x:c>
      <x:c r="L4" t="n">
        <x:v>-0.45</x:v>
      </x:c>
      <x:c r="M4" t="n">
        <x:v>75</x:v>
      </x:c>
    </x:row>
    <x:row r="5">
      <x:c r="A5" t="n">
        <x:v>2013</x:v>
      </x:c>
      <x:c r="B5" t="n">
        <x:v>12</x:v>
      </x:c>
      <x:c r="C5" t="n">
        <x:v>5.43</x:v>
      </x:c>
      <x:c r="D5" t="n">
        <x:v>5.4</x:v>
      </x:c>
      <x:c r="E5" t="n">
        <x:v>-0.02999999999999936</x:v>
      </x:c>
      <x:c r="F5" t="n">
        <x:v>5.45</x:v>
      </x:c>
      <x:c r="G5" t="n">
        <x:v>5.4165520810226075</x:v>
      </x:c>
      <x:c r="H5" t="n">
        <x:v>-0.03344791897739263</x:v>
      </x:c>
      <x:c r="I5" t="n">
        <x:v>5</x:v>
      </x:c>
      <x:c r="J5" t="n">
        <x:v>-3.82</x:v>
      </x:c>
      <x:c r="K5" t="n">
        <x:v>2.04</x:v>
      </x:c>
      <x:c r="L5" t="n">
        <x:v>-2.21</x:v>
      </x:c>
      <x:c r="M5" t="n">
        <x:v>58.3</x:v>
      </x:c>
    </x:row>
    <x:row r="6">
      <x:c r="A6" t="n">
        <x:v>2014</x:v>
      </x:c>
      <x:c r="B6" t="n">
        <x:v>12</x:v>
      </x:c>
      <x:c r="C6" t="n">
        <x:v>10.17</x:v>
      </x:c>
      <x:c r="D6" t="n">
        <x:v>10.2</x:v>
      </x:c>
      <x:c r="E6" t="n">
        <x:v>0.02999999999999936</x:v>
      </x:c>
      <x:c r="F6" t="n">
        <x:v>10.61</x:v>
      </x:c>
      <x:c r="G6" t="n">
        <x:v>10.643020934643177</x:v>
      </x:c>
      <x:c r="H6" t="n">
        <x:v>0.03302093464317757</x:v>
      </x:c>
      <x:c r="I6" t="n">
        <x:v>3.08</x:v>
      </x:c>
      <x:c r="J6" t="n">
        <x:v>-0.33</x:v>
      </x:c>
      <x:c r="K6" t="n">
        <x:v>2.23</x:v>
      </x:c>
      <x:c r="L6" t="n">
        <x:v>-0.33</x:v>
      </x:c>
      <x:c r="M6" t="n">
        <x:v>91.7</x:v>
      </x:c>
    </x:row>
    <x:row r="7">
      <x:c r="A7" t="n">
        <x:v>2015</x:v>
      </x:c>
      <x:c r="B7" t="n">
        <x:v>12</x:v>
      </x:c>
      <x:c r="C7" t="n">
        <x:v>-2.29</x:v>
      </x:c>
      <x:c r="D7" t="n">
        <x:v>-2.4000000000000004</x:v>
      </x:c>
      <x:c r="E7" t="n">
        <x:v>-0.11000000000000032</x:v>
      </x:c>
      <x:c r="F7" t="n">
        <x:v>-2.47</x:v>
      </x:c>
      <x:c r="G7" t="n">
        <x:v>-2.5788848136144904</x:v>
      </x:c>
      <x:c r="H7" t="n">
        <x:v>-0.1088848136144902</x:v>
      </x:c>
      <x:c r="I7" t="n">
        <x:v>6.77</x:v>
      </x:c>
      <x:c r="J7" t="n">
        <x:v>-8.23</x:v>
      </x:c>
      <x:c r="K7" t="n">
        <x:v>2.44</x:v>
      </x:c>
      <x:c r="L7" t="n">
        <x:v>-3.57</x:v>
      </x:c>
      <x:c r="M7" t="n">
        <x:v>50</x:v>
      </x:c>
    </x:row>
    <x:row r="8">
      <x:c r="A8" t="n">
        <x:v>2016</x:v>
      </x:c>
      <x:c r="B8" t="n">
        <x:v>12</x:v>
      </x:c>
      <x:c r="C8" t="n">
        <x:v>0.4</x:v>
      </x:c>
      <x:c r="D8" t="n">
        <x:v>0.29999999999999966</x:v>
      </x:c>
      <x:c r="E8" t="n">
        <x:v>-0.10000000000000037</x:v>
      </x:c>
      <x:c r="F8" t="n">
        <x:v>0.31</x:v>
      </x:c>
      <x:c r="G8" t="n">
        <x:v>0.2122459971425794</x:v>
      </x:c>
      <x:c r="H8" t="n">
        <x:v>-0.09775400285742059</x:v>
      </x:c>
      <x:c r="I8" t="n">
        <x:v>4.39</x:v>
      </x:c>
      <x:c r="J8" t="n">
        <x:v>-4.11</x:v>
      </x:c>
      <x:c r="K8" t="n">
        <x:v>2.3</x:v>
      </x:c>
      <x:c r="L8" t="n">
        <x:v>-3.03</x:v>
      </x:c>
      <x:c r="M8" t="n">
        <x:v>58.3</x:v>
      </x:c>
    </x:row>
    <x:row r="9">
      <x:c r="A9" t="n">
        <x:v>2017</x:v>
      </x:c>
      <x:c r="B9" t="n">
        <x:v>12</x:v>
      </x:c>
      <x:c r="C9" t="n">
        <x:v>6.35</x:v>
      </x:c>
      <x:c r="D9" t="n">
        <x:v>6.3</x:v>
      </x:c>
      <x:c r="E9" t="n">
        <x:v>-0.04999999999999982</x:v>
      </x:c>
      <x:c r="F9" t="n">
        <x:v>6.48</x:v>
      </x:c>
      <x:c r="G9" t="n">
        <x:v>6.427336879764534</x:v>
      </x:c>
      <x:c r="H9" t="n">
        <x:v>-0.05266312023546682</x:v>
      </x:c>
      <x:c r="I9" t="n">
        <x:v>3.43</x:v>
      </x:c>
      <x:c r="J9" t="n">
        <x:v>-1.32</x:v>
      </x:c>
      <x:c r="K9" t="n">
        <x:v>1.85</x:v>
      </x:c>
      <x:c r="L9" t="n">
        <x:v>-1.32</x:v>
      </x:c>
      <x:c r="M9" t="n">
        <x:v>75</x:v>
      </x:c>
    </x:row>
    <x:row r="10">
      <x:c r="A10" t="n">
        <x:v>2018</x:v>
      </x:c>
      <x:c r="B10" t="n">
        <x:v>12</x:v>
      </x:c>
      <x:c r="C10" t="n">
        <x:v>-2.81</x:v>
      </x:c>
      <x:c r="D10" t="n">
        <x:v>-2.6999999999999997</x:v>
      </x:c>
      <x:c r="E10" t="n">
        <x:v>0.11000000000000032</x:v>
      </x:c>
      <x:c r="F10" t="n">
        <x:v>-2.86</x:v>
      </x:c>
      <x:c r="G10" t="n">
        <x:v>-2.7537937655067624</x:v>
      </x:c>
      <x:c r="H10" t="n">
        <x:v>0.10620623449323752</x:v>
      </x:c>
      <x:c r="I10" t="n">
        <x:v>4.41</x:v>
      </x:c>
      <x:c r="J10" t="n">
        <x:v>-5.13</x:v>
      </x:c>
      <x:c r="K10" t="n">
        <x:v>1.31</x:v>
      </x:c>
      <x:c r="L10" t="n">
        <x:v>-2.4</x:v>
      </x:c>
      <x:c r="M10" t="n">
        <x:v>58.3</x:v>
      </x:c>
    </x:row>
    <x:row r="11">
      <x:c r="A11" t="n">
        <x:v>2019</x:v>
      </x:c>
      <x:c r="B11" t="n">
        <x:v>12</x:v>
      </x:c>
      <x:c r="C11" t="n">
        <x:v>7.89</x:v>
      </x:c>
      <x:c r="D11" t="n">
        <x:v>8</x:v>
      </x:c>
      <x:c r="E11" t="n">
        <x:v>0.11000000000000032</x:v>
      </x:c>
      <x:c r="F11" t="n">
        <x:v>8.03</x:v>
      </x:c>
      <x:c r="G11" t="n">
        <x:v>8.153017286039233</x:v>
      </x:c>
      <x:c r="H11" t="n">
        <x:v>0.12301728603923401</x:v>
      </x:c>
      <x:c r="I11" t="n">
        <x:v>5.48</x:v>
      </x:c>
      <x:c r="J11" t="n">
        <x:v>-2.74</x:v>
      </x:c>
      <x:c r="K11" t="n">
        <x:v>2.89</x:v>
      </x:c>
      <x:c r="L11" t="n">
        <x:v>-2.74</x:v>
      </x:c>
      <x:c r="M11" t="n">
        <x:v>58.3</x:v>
      </x:c>
    </x:row>
    <x:row r="12">
      <x:c r="A12" t="n">
        <x:v>2020</x:v>
      </x:c>
      <x:c r="B12" t="n">
        <x:v>12</x:v>
      </x:c>
      <x:c r="C12" t="n">
        <x:v>0.5</x:v>
      </x:c>
      <x:c r="D12" t="n">
        <x:v>0.4999999999999998</x:v>
      </x:c>
      <x:c r="E12" t="n">
        <x:v>-2.220446049250313e-16</x:v>
      </x:c>
      <x:c r="F12" t="n">
        <x:v>-0.28</x:v>
      </x:c>
      <x:c r="G12" t="n">
        <x:v>-0.27595232227617394</x:v>
      </x:c>
      <x:c r="H12" t="n">
        <x:v>0.004047677723826082</x:v>
      </x:c>
      <x:c r="I12" t="n">
        <x:v>12.82</x:v>
      </x:c>
      <x:c r="J12" t="n">
        <x:v>-10.41</x:v>
      </x:c>
      <x:c r="K12" t="n">
        <x:v>5.8</x:v>
      </x:c>
      <x:c r="L12" t="n">
        <x:v>-9.5</x:v>
      </x:c>
      <x:c r="M12" t="n">
        <x:v>50</x:v>
      </x:c>
    </x:row>
    <x:row r="13">
      <x:c r="A13" t="n">
        <x:v>2021</x:v>
      </x:c>
      <x:c r="B13" t="n">
        <x:v>12</x:v>
      </x:c>
      <x:c r="C13" t="n">
        <x:v>13.2</x:v>
      </x:c>
      <x:c r="D13" t="n">
        <x:v>13.2</x:v>
      </x:c>
      <x:c r="E13" t="n">
        <x:v>0</x:v>
      </x:c>
      <x:c r="F13" t="n">
        <x:v>13.68</x:v>
      </x:c>
      <x:c r="G13" t="n">
        <x:v>13.67969875753805</x:v>
      </x:c>
      <x:c r="H13" t="n">
        <x:v>-0.00030124246194951354</x:v>
      </x:c>
      <x:c r="I13" t="n">
        <x:v>8.26</x:v>
      </x:c>
      <x:c r="J13" t="n">
        <x:v>-2.8</x:v>
      </x:c>
      <x:c r="K13" t="n">
        <x:v>5.1</x:v>
      </x:c>
      <x:c r="L13" t="n">
        <x:v>-2.8</x:v>
      </x:c>
      <x:c r="M13" t="n">
        <x:v>58.3</x:v>
      </x:c>
    </x:row>
    <x:row r="14">
      <x:c r="A14" t="n">
        <x:v>2022</x:v>
      </x:c>
      <x:c r="B14" t="n">
        <x:v>12</x:v>
      </x:c>
      <x:c r="C14" t="n">
        <x:v>-12.2</x:v>
      </x:c>
      <x:c r="D14" t="n">
        <x:v>-12.2</x:v>
      </x:c>
      <x:c r="E14" t="n">
        <x:v>0</x:v>
      </x:c>
      <x:c r="F14" t="n">
        <x:v>-11.83</x:v>
      </x:c>
      <x:c r="G14" t="n">
        <x:v>-11.833925729406369</x:v>
      </x:c>
      <x:c r="H14" t="n">
        <x:v>-0.003925729406368816</x:v>
      </x:c>
      <x:c r="I14" t="n">
        <x:v>8.43</x:v>
      </x:c>
      <x:c r="J14" t="n">
        <x:v>-12.18</x:v>
      </x:c>
      <x:c r="K14" t="n">
        <x:v>3.8</x:v>
      </x:c>
      <x:c r="L14" t="n">
        <x:v>-4.8</x:v>
      </x:c>
      <x:c r="M14" t="n">
        <x:v>25</x:v>
      </x:c>
    </x:row>
    <x:row r="15">
      <x:c r="A15" t="n">
        <x:v>2023</x:v>
      </x:c>
      <x:c r="B15" t="n">
        <x:v>12</x:v>
      </x:c>
      <x:c r="C15" t="n">
        <x:v>11.3</x:v>
      </x:c>
      <x:c r="D15" t="n">
        <x:v>11.3</x:v>
      </x:c>
      <x:c r="E15" t="n">
        <x:v>0</x:v>
      </x:c>
      <x:c r="F15" t="n">
        <x:v>11.73</x:v>
      </x:c>
      <x:c r="G15" t="n">
        <x:v>11.728418316820498</x:v>
      </x:c>
      <x:c r="H15" t="n">
        <x:v>-0.0015816831795021358</x:v>
      </x:c>
      <x:c r="I15" t="n">
        <x:v>5.91</x:v>
      </x:c>
      <x:c r="J15" t="n">
        <x:v>-2.29</x:v>
      </x:c>
      <x:c r="K15" t="n">
        <x:v>3.8</x:v>
      </x:c>
      <x:c r="L15" t="n">
        <x:v>-1.7</x:v>
      </x:c>
      <x:c r="M15" t="n">
        <x:v>66.7</x:v>
      </x:c>
    </x:row>
    <x:row r="16">
      <x:c r="A16" t="n">
        <x:v>2024</x:v>
      </x:c>
      <x:c r="B16" t="n">
        <x:v>12</x:v>
      </x:c>
      <x:c r="C16" t="n">
        <x:v>11</x:v>
      </x:c>
      <x:c r="D16" t="n">
        <x:v>11</x:v>
      </x:c>
      <x:c r="E16" t="n">
        <x:v>0</x:v>
      </x:c>
      <x:c r="F16" t="n">
        <x:v>11.47</x:v>
      </x:c>
      <x:c r="G16" t="n">
        <x:v>11.469844070761614</x:v>
      </x:c>
      <x:c r="H16" t="n">
        <x:v>-0.00015592923838703143</x:v>
      </x:c>
      <x:c r="I16" t="n">
        <x:v>4.52</x:v>
      </x:c>
      <x:c r="J16" t="n">
        <x:v>-1.1</x:v>
      </x:c>
      <x:c r="K16" t="n">
        <x:v>3.4</x:v>
      </x:c>
      <x:c r="L16" t="n">
        <x:v>-1.1</x:v>
      </x:c>
      <x:c r="M16" t="n">
        <x:v>83.3</x:v>
      </x:c>
    </x:row>
    <x:row r="17">
      <x:c r="A17" t="n">
        <x:v>2025</x:v>
      </x:c>
      <x:c r="B17" t="n">
        <x:v>12</x:v>
      </x:c>
      <x:c r="C17" t="n">
        <x:v>5.7</x:v>
      </x:c>
      <x:c r="D17" t="n">
        <x:v>5.699999999999999</x:v>
      </x:c>
      <x:c r="E17" t="n">
        <x:v>-8.881784197001252e-16</x:v>
      </x:c>
      <x:c r="F17" t="n">
        <x:v>5.74</x:v>
      </x:c>
      <x:c r="G17" t="n">
        <x:v>5.742622184819091</x:v>
      </x:c>
      <x:c r="H17" t="n">
        <x:v>0.0026221848190903785</x:v>
      </x:c>
      <x:c r="I17" t="n">
        <x:v>4.75</x:v>
      </x:c>
      <x:c r="J17" t="n">
        <x:v>-2.68</x:v>
      </x:c>
      <x:c r="K17" t="n">
        <x:v>2.6</x:v>
      </x:c>
      <x:c r="L17" t="n">
        <x:v>-1.8</x:v>
      </x:c>
      <x:c r="M17" t="n">
        <x:v>66.7</x:v>
      </x:c>
    </x:row>
    <x:row r="18">
      <x:c r="A18" t="n">
        <x:v>2026</x:v>
      </x:c>
      <x:c r="B18" t="n">
        <x:v>6</x:v>
      </x:c>
      <x:c r="C18" t="n">
        <x:v>8.7</x:v>
      </x:c>
      <x:c r="D18" t="n">
        <x:v>8.7</x:v>
      </x:c>
      <x:c r="E18" t="n">
        <x:v>0</x:v>
      </x:c>
      <x:c r="F18" t="n">
        <x:v>8.82</x:v>
      </x:c>
      <x:c r="G18" t="n">
        <x:v>8.81818788257942</x:v>
      </x:c>
      <x:c r="H18" t="n">
        <x:v>-0.001812117420580961</x:v>
      </x:c>
      <x:c r="I18" t="n">
        <x:v>9.55</x:v>
      </x:c>
      <x:c r="J18" t="n">
        <x:v>-3.39</x:v>
      </x:c>
      <x:c r="K18" t="n">
        <x:v>4.5</x:v>
      </x:c>
      <x:c r="L18" t="n">
        <x:v>-3.1</x:v>
      </x:c>
      <x:c r="M18" t="n">
        <x:v>66.7</x:v>
      </x:c>
    </x:row>
  </x:sheetData>
  <x:pageMargins left="0.7" right="0.7" top="0.75" bottom="0.75" header="0.3" footer="0.3"/>
  <x:tableParts count="1">
    <x:tablePart xmlns:r="http://schemas.openxmlformats.org/officeDocument/2006/relationships" r:id="Raec1d5c927a0463f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3.319999694824219" hidden="0" customWidth="1"/>
    <x:col min="2" max="2" width="22.8799991607666" hidden="0" customWidth="1"/>
    <x:col min="3" max="3" width="42" hidden="0" customWidth="1"/>
    <x:col min="4" max="4" width="42" hidden="0" customWidth="1"/>
  </x:cols>
  <x:sheetData>
    <x:row r="1">
      <x:c r="A1" s="53" t="str">
        <x:v>Field</x:v>
      </x:c>
      <x:c r="B1" s="53" t="str">
        <x:v>Value</x:v>
      </x:c>
      <x:c r="C1" s="53" t="str">
        <x:v>Notes</x:v>
      </x:c>
      <x:c r="D1" s="53" t="str">
        <x:v>Source location</x:v>
      </x:c>
      <x:c r="E1" s="49"/>
      <x:c r="F1" s="49"/>
      <x:c r="G1" s="49"/>
      <x:c r="H1" s="49"/>
      <x:c r="I1" s="49"/>
      <x:c r="J1" s="49"/>
      <x:c r="K1" s="49"/>
      <x:c r="L1" s="49"/>
      <x:c r="M1" s="49"/>
      <x:c r="N1" s="49"/>
      <x:c r="O1" s="49"/>
      <x:c r="P1" s="49"/>
      <x:c r="Q1" s="49"/>
      <x:c r="R1" s="49"/>
      <x:c r="S1" s="49"/>
      <x:c r="T1" s="49"/>
      <x:c r="U1" s="49"/>
      <x:c r="V1" s="49"/>
      <x:c r="W1" s="49"/>
      <x:c r="X1" s="49"/>
      <x:c r="Y1" s="49"/>
      <x:c r="Z1" s="49"/>
    </x:row>
    <x:row r="2">
      <x:c r="A2" t="str">
        <x:v>Product</x:v>
      </x:c>
      <x:c r="B2" t="str">
        <x:v>EGONON Global Macro AMC</x:v>
      </x:c>
      <x:c r="C2" t="str">
        <x:v>ISIN DE000A2UG4F2</x:v>
      </x:c>
      <x:c r="D2" t="str">
        <x:v>PDF p. 1 / p. 2</x:v>
      </x:c>
    </x:row>
    <x:row r="3">
      <x:c r="A3" t="str">
        <x:v>Date range</x:v>
      </x:c>
      <x:c r="B3" t="str">
        <x:v>2010-04-30 to 2026-06-30</x:v>
      </x:c>
      <x:c r="C3" t="str">
        <x:v>Report states 195 monthly observations</x:v>
      </x:c>
      <x:c r="D3" t="str">
        <x:v>PDF p. 1 / p. 3</x:v>
      </x:c>
    </x:row>
    <x:row r="4">
      <x:c r="A4" t="str">
        <x:v>NAV base</x:v>
      </x:c>
      <x:c r="B4" t="str">
        <x:v>1,000</x:v>
      </x:c>
      <x:c r="C4" t="str">
        <x:v>Base index at 2010-03-30</x:v>
      </x:c>
      <x:c r="D4" t="str">
        <x:v>PDF p. 1 / p. 5</x:v>
      </x:c>
    </x:row>
    <x:row r="5">
      <x:c r="A5" t="str">
        <x:v>Final report NAV</x:v>
      </x:c>
      <x:c r="B5" t="str">
        <x:v>2,149.45</x:v>
      </x:c>
      <x:c r="C5" t="str">
        <x:v>Value indexed final / ATH at 2026-06-30</x:v>
      </x:c>
      <x:c r="D5" t="str">
        <x:v>PDF p. 1 / p. 3 / p. 5</x:v>
      </x:c>
    </x:row>
    <x:row r="6">
      <x:c r="A6" t="str">
        <x:v>Monthly returns</x:v>
      </x:c>
      <x:c r="B6" t="str">
        <x:v>Displayed to 1 decimal place</x:v>
      </x:c>
      <x:c r="C6" t="str">
        <x:v>Transcribed from monthly heatmap</x:v>
      </x:c>
      <x:c r="D6" t="str">
        <x:v>PDF p. 10</x:v>
      </x:c>
    </x:row>
    <x:row r="7">
      <x:c r="A7" t="str">
        <x:v>Exactness caveat</x:v>
      </x:c>
      <x:c r="B7" t="str">
        <x:v>Rounded reconstruction</x:v>
      </x:c>
      <x:c r="C7" t="str">
        <x:v>Exact monthly NAV requires the underlying Excel or official valuation series</x:v>
      </x:c>
      <x:c r="D7" t="str">
        <x:v>Methodological note</x:v>
      </x:c>
    </x:row>
  </x:sheetData>
  <x:pageMargins left="0.7" right="0.7" top="0.75" bottom="0.75" header="0.3" footer="0.3"/>
</x:worksheet>
</file>